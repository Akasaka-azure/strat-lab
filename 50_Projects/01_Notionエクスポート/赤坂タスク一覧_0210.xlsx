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userside7700-my.sharepoint.com/personal/akasaka_kazuyuki_userside_inc/Documents/strat-lab/strat-lab/50_Projects/01_Notionエクスポート/"/>
    </mc:Choice>
  </mc:AlternateContent>
  <xr:revisionPtr revIDLastSave="124" documentId="8_{EFDA5A63-DDB7-4029-8CAC-3080D220C1BB}" xr6:coauthVersionLast="47" xr6:coauthVersionMax="47" xr10:uidLastSave="{0C2BAADF-C8EE-4188-9F34-82D98CCCDB1E}"/>
  <bookViews>
    <workbookView xWindow="29865" yWindow="165" windowWidth="23010" windowHeight="13395" activeTab="1" xr2:uid="{FBA6C819-1A5D-492D-A652-EC89D9A519AD}"/>
  </bookViews>
  <sheets>
    <sheet name="PJ一覧" sheetId="2" r:id="rId1"/>
    <sheet name="タスク管理"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4" i="1" l="1"/>
  <c r="I89" i="1" l="1"/>
  <c r="I6" i="1"/>
  <c r="I88" i="1"/>
  <c r="I80" i="1"/>
  <c r="I8" i="1"/>
  <c r="I7" i="1"/>
  <c r="I2" i="1"/>
  <c r="I3" i="1"/>
  <c r="I5"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1" i="1"/>
  <c r="I82" i="1"/>
  <c r="I83" i="1"/>
  <c r="I84" i="1"/>
  <c r="I85" i="1"/>
  <c r="I86" i="1"/>
  <c r="I87" i="1"/>
  <c r="I90" i="1"/>
  <c r="I95" i="1"/>
  <c r="I96" i="1"/>
  <c r="I97" i="1"/>
  <c r="I98" i="1"/>
  <c r="I99" i="1"/>
  <c r="I100" i="1"/>
  <c r="I101" i="1"/>
  <c r="I102" i="1"/>
  <c r="I103" i="1"/>
  <c r="I104" i="1"/>
  <c r="I105" i="1"/>
  <c r="I106" i="1"/>
  <c r="I108"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4" i="1"/>
  <c r="I155" i="1"/>
  <c r="I156" i="1"/>
  <c r="I157" i="1"/>
  <c r="I158" i="1"/>
  <c r="I159" i="1"/>
  <c r="I160" i="1"/>
  <c r="I161" i="1"/>
  <c r="I162" i="1"/>
  <c r="I163" i="1"/>
  <c r="I164" i="1"/>
  <c r="I165" i="1"/>
  <c r="I166" i="1"/>
  <c r="I167" i="1"/>
  <c r="I168" i="1"/>
  <c r="I169" i="1"/>
  <c r="I170" i="1"/>
  <c r="I171" i="1"/>
  <c r="I17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tc={EE32225F-DA14-49BD-BF9F-BB8273911749}</author>
  </authors>
  <commentList>
    <comment ref="B93" authorId="0" shapeId="0" xr:uid="{EE32225F-DA14-49BD-BF9F-BB827391174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 メーリングリストの洗い出し、ドメインがco.jpになっているものの洗い出し
(2) リスト化※すでにある場合は省略
(3) 移行するのか削除するのか方針
</t>
      </text>
    </comment>
  </commentList>
</comments>
</file>

<file path=xl/sharedStrings.xml><?xml version="1.0" encoding="utf-8"?>
<sst xmlns="http://schemas.openxmlformats.org/spreadsheetml/2006/main" count="1195" uniqueCount="322">
  <si>
    <t>タスク名</t>
  </si>
  <si>
    <t>アーカイブ済み</t>
  </si>
  <si>
    <t>カテゴリ</t>
  </si>
  <si>
    <t>ステータス</t>
  </si>
  <si>
    <t>担当AI</t>
  </si>
  <si>
    <t>担当者</t>
  </si>
  <si>
    <t>次アクション</t>
  </si>
  <si>
    <t>種別</t>
  </si>
  <si>
    <t>締切</t>
  </si>
  <si>
    <t>背景メモ</t>
  </si>
  <si>
    <t>開始日</t>
  </si>
  <si>
    <t>11. 受け入れテスト</t>
  </si>
  <si>
    <t>No</t>
  </si>
  <si>
    <t>受注後</t>
  </si>
  <si>
    <t>未着手</t>
  </si>
  <si>
    <t>FC</t>
  </si>
  <si>
    <t>Sharepointの利用状況を整理</t>
  </si>
  <si>
    <t>情シス</t>
  </si>
  <si>
    <t>完了</t>
  </si>
  <si>
    <t>08.1 結合テスト</t>
  </si>
  <si>
    <t>2. DNS設定準備（必要レコードの設計・変更手順作成）</t>
  </si>
  <si>
    <t>営業推進</t>
  </si>
  <si>
    <t>手続関連</t>
  </si>
  <si>
    <t>10.1 テスト環境デプロイ</t>
  </si>
  <si>
    <t>12.2 データ移行</t>
  </si>
  <si>
    <t>12.3 スモールスタート(1-2店舗)</t>
  </si>
  <si>
    <t>ロイズ</t>
  </si>
  <si>
    <t>02.1 【社内】ロイズ棚卸/納品物</t>
  </si>
  <si>
    <t>Yes</t>
  </si>
  <si>
    <t>12 12</t>
  </si>
  <si>
    <t>FC待ち（機能ごと定義中）</t>
  </si>
  <si>
    <t>AWSレポートpyメンテ</t>
  </si>
  <si>
    <t>2 4</t>
  </si>
  <si>
    <t>定期/週</t>
  </si>
  <si>
    <t>13.3 現地立会サポート</t>
  </si>
  <si>
    <t>US</t>
  </si>
  <si>
    <t>個人</t>
  </si>
  <si>
    <t>学習</t>
  </si>
  <si>
    <t>07. 単体テスト</t>
  </si>
  <si>
    <t>4. 最終動作確認（全体・例外ケース含む）</t>
  </si>
  <si>
    <t>進行中</t>
  </si>
  <si>
    <t>05.2.4 検品画面</t>
  </si>
  <si>
    <t>AIツール選定</t>
  </si>
  <si>
    <t>業務改善</t>
  </si>
  <si>
    <t>アイディア</t>
  </si>
  <si>
    <t>Fileサーバーの利用状況を整理</t>
  </si>
  <si>
    <t>最終チェック依頼中</t>
  </si>
  <si>
    <t>数値速報チェック業務</t>
  </si>
  <si>
    <t>定期/日</t>
  </si>
  <si>
    <t>12.1 本番環境デプロイ</t>
  </si>
  <si>
    <t>11.2 不具合修正</t>
  </si>
  <si>
    <t>13.1 操作マニュアル作成</t>
  </si>
  <si>
    <t>04.4 タブレット実機検証</t>
  </si>
  <si>
    <t>05.4 データ連携機能開発</t>
  </si>
  <si>
    <t>12. 本番稼働</t>
  </si>
  <si>
    <t>09.1 本番環境構築</t>
  </si>
  <si>
    <t>02.1.1 検品機能</t>
  </si>
  <si>
    <t>FC工数見積もり中</t>
  </si>
  <si>
    <t>05.2 画面開発</t>
  </si>
  <si>
    <t>05.2.2 棚卸画面</t>
  </si>
  <si>
    <t>08.3 バグ修正</t>
  </si>
  <si>
    <t>09. IaaS利用開始</t>
  </si>
  <si>
    <t>09.2 SSL証明書設定</t>
  </si>
  <si>
    <t>BIツール</t>
  </si>
  <si>
    <t>2 6</t>
  </si>
  <si>
    <t>10. テストリリース</t>
  </si>
  <si>
    <t>05.1 環境構築</t>
  </si>
  <si>
    <t>08. 総合テスト</t>
  </si>
  <si>
    <t>06. システム開発</t>
  </si>
  <si>
    <t>技術部MTG文字起こし共有</t>
  </si>
  <si>
    <t>2 10</t>
  </si>
  <si>
    <t>【ロイズ】議事録作成補助</t>
  </si>
  <si>
    <t>05.1.3 テスト環境構築</t>
  </si>
  <si>
    <t>04.2 デザインレビュー</t>
  </si>
  <si>
    <t>04.1 モックアップ作成</t>
  </si>
  <si>
    <t>Backlog整理</t>
  </si>
  <si>
    <t>稟議書作成</t>
  </si>
  <si>
    <t>06.4 バッチ処理開発</t>
  </si>
  <si>
    <t>05.2.5 転送画面</t>
  </si>
  <si>
    <t>09.3 セキュリティ設定</t>
  </si>
  <si>
    <t>工数可視化※エラー中</t>
  </si>
  <si>
    <t>1 19</t>
  </si>
  <si>
    <t>07.1 画面単体テスト</t>
  </si>
  <si>
    <t>06.3 データベース構築</t>
  </si>
  <si>
    <t>05.2.1 サンプル画面</t>
  </si>
  <si>
    <t>05.2.3 店舗棚卸画面</t>
  </si>
  <si>
    <t>10.2 動作確認</t>
  </si>
  <si>
    <t>11.3 最終確認</t>
  </si>
  <si>
    <t>11.1 ユーザー受入テスト実施</t>
  </si>
  <si>
    <t>06.1 バックエンド開発</t>
  </si>
  <si>
    <t>02.2 店舗機能要件定義</t>
  </si>
  <si>
    <t>03. 機能一覧作成</t>
  </si>
  <si>
    <t>02.5 要件レビュー・承認</t>
  </si>
  <si>
    <t>08.2 システムテスト</t>
  </si>
  <si>
    <t>03.2 機能詳細仕様書作成</t>
  </si>
  <si>
    <t>02.4 基幹システム連携要件定義</t>
  </si>
  <si>
    <t>日次チェックをNotionへ移行</t>
  </si>
  <si>
    <t>05.2.6 管理画面</t>
  </si>
  <si>
    <t>07.2 機能単体テスト</t>
  </si>
  <si>
    <t>04.3 UI/UX改善</t>
  </si>
  <si>
    <t>4. プロジェクト完了条件を満たしたことを確認しクローズ</t>
  </si>
  <si>
    <t>13.2 ユーザートレーニング</t>
  </si>
  <si>
    <t>00. ご注文</t>
  </si>
  <si>
    <t>05.1.2 開発環境構築</t>
  </si>
  <si>
    <t>2. メール認証設定（SPF/DKIM/DMARC）を設計・設定</t>
  </si>
  <si>
    <t>4. 「.http://co.jp」宛の転送設定を最終化（恒久運用の形に）</t>
  </si>
  <si>
    <t>02.1.4 転送機能</t>
  </si>
  <si>
    <t>要望多い工数大</t>
  </si>
  <si>
    <t>02.3 管理画面要件定義</t>
  </si>
  <si>
    <t>05. 開発</t>
  </si>
  <si>
    <t>12.4 運用開始</t>
  </si>
  <si>
    <t>02.1.2 サンプル入力機能</t>
  </si>
  <si>
    <t>最初に着手</t>
  </si>
  <si>
    <t>2. 証明書適用の段取りを作成（適用対象、作業手順、切戻し、実施時間帯、担当）</t>
  </si>
  <si>
    <t>3. 移行中の問い合わせ対応フローを運用（窓口、エスカレーション、記録）</t>
  </si>
  <si>
    <t>05.3 バーコード読取機能開発</t>
  </si>
  <si>
    <t>SSL証明書/サーバー構築期限確認</t>
  </si>
  <si>
    <t>1 26</t>
  </si>
  <si>
    <t>相談対応</t>
  </si>
  <si>
    <t>06.2 API開発</t>
  </si>
  <si>
    <t>02.1.3 棚卸機能</t>
  </si>
  <si>
    <t>1/16までにロイズ様要望締切</t>
  </si>
  <si>
    <t>1. 取引先・外部サービスごとの影響範囲（メール、ログインID、証明書、DNS等）を整理</t>
  </si>
  <si>
    <t>1. 従業員向け周知計画を作成（何を・いつ・誰が・どのチャネルで）</t>
  </si>
  <si>
    <t>4. 社内向け最終案内（運用ルール、問い合わせ先、注意点）</t>
  </si>
  <si>
    <t>1. FAQ素案を作成（よくある質問、切替当日の注意点、問い合わせ先）</t>
  </si>
  <si>
    <t>3. 外部サービスの登録情報（メールアドレス等）を順次変更</t>
  </si>
  <si>
    <t>03.3 データ項目定義</t>
  </si>
  <si>
    <t>02.2.1 店舗棚卸機能</t>
  </si>
  <si>
    <t>下地さんに交通手段臨時変更申請相談</t>
  </si>
  <si>
    <t>他</t>
  </si>
  <si>
    <t>1 28</t>
  </si>
  <si>
    <t>2. 検証環境／検証手順を準備（切替前のテスト項目定義）</t>
  </si>
  <si>
    <t>1. 技術要件を確定（DNS、SPF/DKIM/DMARC、メール転送方針、認証方式）</t>
  </si>
  <si>
    <t>3. 部門別の切替実施（段階的に移行）</t>
  </si>
  <si>
    <t>今後の運用についてルール化（案）</t>
  </si>
  <si>
    <t>07.3 バグ修正</t>
  </si>
  <si>
    <t>2. Webデータの先行切替計画を作成（ドメイン切替に先駆けて実施：対象、順序、実施日、依存関係）</t>
  </si>
  <si>
    <t>3. 部門ごとの切替順序・移行日程を確定</t>
  </si>
  <si>
    <t>3. 切替後の動作確認（メール送受信、転送、認証、主要サービスログイン）</t>
  </si>
  <si>
    <t>2. Web側の事前検証・動作確認項目を定義（URL/リダイレクト、証明書、フォーム、外部連携、計測タグ等）</t>
  </si>
  <si>
    <t>03.1 画面一覧作成</t>
  </si>
  <si>
    <t>05.5 帳票出力機能開発</t>
  </si>
  <si>
    <t>05.1.1 瑞雲サーバー構築</t>
  </si>
  <si>
    <t>4. マニュアル整備（社内手順・FAQの更新）</t>
  </si>
  <si>
    <t>02.1 催事機能要件定義</t>
  </si>
  <si>
    <t>機能ごとに定義中</t>
  </si>
  <si>
    <t>2. SSL証明書取得（技術部と連携）</t>
  </si>
  <si>
    <t>03.4 帳票定義</t>
  </si>
  <si>
    <t>04. 画面一覧作成/デザイン</t>
  </si>
  <si>
    <t>2. 新ドメイン側のアカウント整備（運用ルール含む）</t>
  </si>
  <si>
    <t>1. 外部サービス／取引先の洗い出し（対象一覧を作成）</t>
  </si>
  <si>
    <t>2. SSL証明書：申請済み（稟議書の承認待ち）を追跡し、承認→発行→受領までのリードタイムを確定</t>
  </si>
  <si>
    <t>1. 全体スケジュールとマイルストーン（第2〜第4期）を確定</t>
  </si>
  <si>
    <t>1. 体制・役割分担を確定（情シス／技術部／各部門窓口）</t>
  </si>
  <si>
    <t>【週次】AWSレポートpyメンテ</t>
  </si>
  <si>
    <t>AWS GenUユースケース作成</t>
  </si>
  <si>
    <t>1 30</t>
  </si>
  <si>
    <t>どこでもBOXマニュアル修正</t>
  </si>
  <si>
    <t>12 5</t>
  </si>
  <si>
    <t>【AWS】GenUの環境削除</t>
  </si>
  <si>
    <t>自社サービス契約顧客洗い出し</t>
  </si>
  <si>
    <t>3月</t>
  </si>
  <si>
    <t>定期/月</t>
  </si>
  <si>
    <t>Backlog ⇔ Sharepoint API連携検証</t>
  </si>
  <si>
    <t>12 8</t>
  </si>
  <si>
    <t>AWS GenUログインチェック・動機付け</t>
  </si>
  <si>
    <t>【AWS】雷上での契約削除について</t>
  </si>
  <si>
    <t>東日本　販促　レター</t>
  </si>
  <si>
    <t>2. 要件定義</t>
  </si>
  <si>
    <t>どこでもBOX/家計画様</t>
  </si>
  <si>
    <t>髙橋しんすけさんの過去メール</t>
  </si>
  <si>
    <t>claude契約の付け替え</t>
  </si>
  <si>
    <t>2 7</t>
  </si>
  <si>
    <t>保留中</t>
  </si>
  <si>
    <t>舟久保さん回答待ち</t>
  </si>
  <si>
    <t>【AWS】環境削除</t>
  </si>
  <si>
    <t>1 16</t>
  </si>
  <si>
    <t>TeamViewer　ライセンス更新稟議書</t>
  </si>
  <si>
    <t>AWS GenU　社内ユースケース集め</t>
  </si>
  <si>
    <t>【AWS】ハンズオンフォローアップMTG-コカ・コーラ様</t>
  </si>
  <si>
    <t>売上数値分析について</t>
  </si>
  <si>
    <t>社内UPSエラー対応（BN100T）</t>
  </si>
  <si>
    <t>2/17交換対応</t>
  </si>
  <si>
    <t>■経理コラボ東py制作</t>
  </si>
  <si>
    <t>【申請】舟久保さんCopilot</t>
  </si>
  <si>
    <t>■パートナー企業管理体制構築PJ</t>
  </si>
  <si>
    <t>テクサポアラート端末交換手配</t>
  </si>
  <si>
    <t>見積もり待ち</t>
  </si>
  <si>
    <t>【メンション】テスト</t>
  </si>
  <si>
    <t>Backlog</t>
  </si>
  <si>
    <t>LINEWORKSの利用状況を整理</t>
  </si>
  <si>
    <t>社外グループは保留</t>
  </si>
  <si>
    <t>2 2</t>
  </si>
  <si>
    <t>メーリングリストの利用状況を整理</t>
  </si>
  <si>
    <t>今後のSharepoint利用ルール整備</t>
  </si>
  <si>
    <t>1-3: 管理フォーマットの作成</t>
  </si>
  <si>
    <t>1-2: 管理項目の定義</t>
  </si>
  <si>
    <t>3-2: 改善提案・実装</t>
  </si>
  <si>
    <t>1-1: パートナー企業リストの精査</t>
  </si>
  <si>
    <t>2-2: アライアンスフォルダスキャン機能</t>
  </si>
  <si>
    <t>3-1: 月次メンテナンス</t>
  </si>
  <si>
    <t>2-1: メール分析の定期実行化</t>
  </si>
  <si>
    <t>2 16</t>
  </si>
  <si>
    <t>2-4: 運用マニュアル整備</t>
  </si>
  <si>
    <t>2-3: 通知対応（ドメイン移行案内）</t>
  </si>
  <si>
    <t>1-4: 初期データ投入</t>
  </si>
  <si>
    <t>2 9</t>
  </si>
  <si>
    <t>0-1: 本ドキュメントのレビュー・承認</t>
  </si>
  <si>
    <t>1-0: A判定39社と既知11社の突合分析</t>
  </si>
  <si>
    <t>顧客取引履歴の出力</t>
  </si>
  <si>
    <t>出力されたcsvの成形</t>
  </si>
  <si>
    <t>池田さんにCopilotライセンス切替</t>
  </si>
  <si>
    <t>ピカパカ様LINEWORKS招待</t>
  </si>
  <si>
    <t>安藤さんVeeamリストア</t>
  </si>
  <si>
    <t>DX導入支援</t>
  </si>
  <si>
    <t>タキロンシーアイアグリ様 copilot導入</t>
  </si>
  <si>
    <t>INVOX稟議書作成＆手続き自動化</t>
  </si>
  <si>
    <t>Corsor契約＋Azure Open AI連携</t>
  </si>
  <si>
    <t>営業見通し管理票バージョンアップ</t>
  </si>
  <si>
    <t>2 12</t>
  </si>
  <si>
    <t>車ブレーキランプ交換</t>
  </si>
  <si>
    <t>Audiに持っていく</t>
  </si>
  <si>
    <t>道新様　AIの件</t>
  </si>
  <si>
    <t>SGW MTG文字起こし共有</t>
  </si>
  <si>
    <t>社内NWとラシューの後処理</t>
  </si>
  <si>
    <t>【AWS】営業支援</t>
    <phoneticPr fontId="18"/>
  </si>
  <si>
    <t>【ロイズ】棚卸システム開発支援</t>
  </si>
  <si>
    <t>【ロイズ】棚卸システム開発支援</t>
    <phoneticPr fontId="18"/>
  </si>
  <si>
    <t>DX/AI推進サービス化</t>
    <phoneticPr fontId="18"/>
  </si>
  <si>
    <t>パートナー企業管理体制構築PJ</t>
    <phoneticPr fontId="18"/>
  </si>
  <si>
    <t>自社ドメインの移行PJ管理</t>
  </si>
  <si>
    <t>自社ドメインの移行PJ管理</t>
    <phoneticPr fontId="18"/>
  </si>
  <si>
    <t>社内情報システムの整理</t>
  </si>
  <si>
    <t>社内情報システムの整理</t>
    <phoneticPr fontId="18"/>
  </si>
  <si>
    <t>赤坂</t>
  </si>
  <si>
    <t>赤坂</t>
    <rPh sb="0" eb="2">
      <t>アカサカ</t>
    </rPh>
    <phoneticPr fontId="18"/>
  </si>
  <si>
    <t>廣川、赤坂</t>
    <rPh sb="0" eb="2">
      <t>ヒロカワ</t>
    </rPh>
    <rPh sb="3" eb="5">
      <t>アカサカ</t>
    </rPh>
    <phoneticPr fontId="18"/>
  </si>
  <si>
    <t>Claude</t>
    <phoneticPr fontId="18"/>
  </si>
  <si>
    <t>Yes</t>
    <phoneticPr fontId="18"/>
  </si>
  <si>
    <t>赤坂、田代</t>
    <rPh sb="0" eb="2">
      <t>アカサカ</t>
    </rPh>
    <rPh sb="3" eb="5">
      <t>タシロ</t>
    </rPh>
    <phoneticPr fontId="18"/>
  </si>
  <si>
    <t>Antigravity</t>
    <phoneticPr fontId="18"/>
  </si>
  <si>
    <t>佐々木さんオーダー</t>
    <rPh sb="0" eb="3">
      <t>ササキ</t>
    </rPh>
    <phoneticPr fontId="18"/>
  </si>
  <si>
    <t>明日実さんオーダー</t>
    <rPh sb="0" eb="3">
      <t>アスミ</t>
    </rPh>
    <phoneticPr fontId="18"/>
  </si>
  <si>
    <t>情シス</t>
    <phoneticPr fontId="18"/>
  </si>
  <si>
    <t>US技術部</t>
    <rPh sb="2" eb="4">
      <t>ギジュツ</t>
    </rPh>
    <rPh sb="4" eb="5">
      <t>ブ</t>
    </rPh>
    <phoneticPr fontId="18"/>
  </si>
  <si>
    <t>赤坂？</t>
    <rPh sb="0" eb="2">
      <t>アカサカ</t>
    </rPh>
    <phoneticPr fontId="18"/>
  </si>
  <si>
    <t>個人</t>
    <phoneticPr fontId="18"/>
  </si>
  <si>
    <t>Copilot導入支援</t>
    <phoneticPr fontId="18"/>
  </si>
  <si>
    <t>■DX/AI推進サービス関連</t>
    <rPh sb="6" eb="8">
      <t>スイシン</t>
    </rPh>
    <rPh sb="12" eb="14">
      <t>カンレン</t>
    </rPh>
    <phoneticPr fontId="18"/>
  </si>
  <si>
    <t>DX/AI推進サービス</t>
    <phoneticPr fontId="18"/>
  </si>
  <si>
    <t>■自社ドメインの移行PJ管理</t>
    <phoneticPr fontId="18"/>
  </si>
  <si>
    <t>■社内情報システムの整理</t>
    <phoneticPr fontId="18"/>
  </si>
  <si>
    <t>■ロイズ棚卸PJ（打合せ等）</t>
    <phoneticPr fontId="18"/>
  </si>
  <si>
    <t>下地さん相談受け</t>
    <rPh sb="0" eb="2">
      <t>シモジ</t>
    </rPh>
    <rPh sb="4" eb="6">
      <t>ソウダン</t>
    </rPh>
    <rPh sb="6" eb="7">
      <t>ウ</t>
    </rPh>
    <phoneticPr fontId="18"/>
  </si>
  <si>
    <t>舟久保さん相談受け</t>
    <rPh sb="0" eb="3">
      <t>フナクボ</t>
    </rPh>
    <rPh sb="5" eb="8">
      <t>ソウダンウ</t>
    </rPh>
    <phoneticPr fontId="18"/>
  </si>
  <si>
    <t>池田さん相談受け</t>
    <rPh sb="0" eb="2">
      <t>イケダ</t>
    </rPh>
    <rPh sb="4" eb="7">
      <t>ソウダンウ</t>
    </rPh>
    <phoneticPr fontId="18"/>
  </si>
  <si>
    <t>酒井さん相談受け</t>
    <rPh sb="0" eb="2">
      <t>サカイ</t>
    </rPh>
    <rPh sb="4" eb="7">
      <t>ソウダンウ</t>
    </rPh>
    <phoneticPr fontId="18"/>
  </si>
  <si>
    <t>社内トラシュー</t>
    <rPh sb="0" eb="2">
      <t>シャナイ</t>
    </rPh>
    <phoneticPr fontId="18"/>
  </si>
  <si>
    <t>テクサポ</t>
    <phoneticPr fontId="18"/>
  </si>
  <si>
    <t>下地さんオーダー</t>
    <rPh sb="0" eb="2">
      <t>シモジ</t>
    </rPh>
    <phoneticPr fontId="18"/>
  </si>
  <si>
    <t>小松さん相談受け</t>
    <rPh sb="0" eb="2">
      <t>コマツ</t>
    </rPh>
    <rPh sb="4" eb="7">
      <t>ソウダンウ</t>
    </rPh>
    <phoneticPr fontId="18"/>
  </si>
  <si>
    <t>斎藤さん相談受け</t>
    <rPh sb="0" eb="2">
      <t>サイトウ</t>
    </rPh>
    <rPh sb="4" eb="7">
      <t>ソウダンウ</t>
    </rPh>
    <phoneticPr fontId="18"/>
  </si>
  <si>
    <t>CLOMOメール通知</t>
    <phoneticPr fontId="18"/>
  </si>
  <si>
    <t>メール相談受け</t>
    <rPh sb="3" eb="5">
      <t>ソウダン</t>
    </rPh>
    <rPh sb="5" eb="6">
      <t>ウ</t>
    </rPh>
    <phoneticPr fontId="18"/>
  </si>
  <si>
    <t>廣川さんオーダー</t>
    <rPh sb="0" eb="2">
      <t>ヒロカワ</t>
    </rPh>
    <phoneticPr fontId="18"/>
  </si>
  <si>
    <t>【コラボ】廣川さんに相談</t>
    <phoneticPr fontId="18"/>
  </si>
  <si>
    <t>実施予定日</t>
    <rPh sb="2" eb="4">
      <t>ヨテイ</t>
    </rPh>
    <phoneticPr fontId="18"/>
  </si>
  <si>
    <t>2/27(仮)</t>
    <rPh sb="5" eb="6">
      <t>カリ</t>
    </rPh>
    <phoneticPr fontId="18"/>
  </si>
  <si>
    <t>三上さんオーダー</t>
    <rPh sb="0" eb="2">
      <t>ミカミ</t>
    </rPh>
    <phoneticPr fontId="18"/>
  </si>
  <si>
    <t>進行中</t>
    <phoneticPr fontId="18"/>
  </si>
  <si>
    <t>ナレッジ作成のため</t>
    <rPh sb="4" eb="6">
      <t>サクセイ</t>
    </rPh>
    <phoneticPr fontId="18"/>
  </si>
  <si>
    <t>サブ
タスク</t>
    <phoneticPr fontId="18"/>
  </si>
  <si>
    <t>◯</t>
    <phoneticPr fontId="18"/>
  </si>
  <si>
    <t>継続プロジェクト</t>
    <rPh sb="0" eb="2">
      <t>ケイゾク</t>
    </rPh>
    <phoneticPr fontId="18"/>
  </si>
  <si>
    <t>経理コラボ東py制作</t>
    <phoneticPr fontId="18"/>
  </si>
  <si>
    <t>トラシュー</t>
    <phoneticPr fontId="18"/>
  </si>
  <si>
    <t>改善要望</t>
    <rPh sb="0" eb="4">
      <t>カイゼンヨウボウ</t>
    </rPh>
    <phoneticPr fontId="18"/>
  </si>
  <si>
    <t>（ルーティン）定期/週</t>
    <phoneticPr fontId="18"/>
  </si>
  <si>
    <t>（ルーティン）定期/月</t>
    <phoneticPr fontId="18"/>
  </si>
  <si>
    <t>（ルーティン）定期/日</t>
    <rPh sb="7" eb="9">
      <t>テイキ</t>
    </rPh>
    <rPh sb="10" eb="11">
      <t>ニチ</t>
    </rPh>
    <phoneticPr fontId="18"/>
  </si>
  <si>
    <t>ツール作成　PDF→Excel</t>
    <phoneticPr fontId="18"/>
  </si>
  <si>
    <t>手順書作成</t>
    <rPh sb="0" eb="3">
      <t>テジュンショ</t>
    </rPh>
    <rPh sb="3" eb="5">
      <t>サクセイ</t>
    </rPh>
    <phoneticPr fontId="18"/>
  </si>
  <si>
    <t>BIツール改修</t>
    <rPh sb="5" eb="7">
      <t>カイシュウ</t>
    </rPh>
    <phoneticPr fontId="18"/>
  </si>
  <si>
    <t>-</t>
    <phoneticPr fontId="18"/>
  </si>
  <si>
    <t>毎日</t>
    <rPh sb="0" eb="2">
      <t>マイニチ</t>
    </rPh>
    <phoneticPr fontId="18"/>
  </si>
  <si>
    <t>自社co.jp→inc</t>
    <rPh sb="0" eb="2">
      <t>ジシャ</t>
    </rPh>
    <phoneticPr fontId="18"/>
  </si>
  <si>
    <t>情報整理</t>
    <rPh sb="0" eb="4">
      <t>ジョウホウセイリ</t>
    </rPh>
    <phoneticPr fontId="18"/>
  </si>
  <si>
    <t>舟久保さんオーダー</t>
    <rPh sb="0" eb="3">
      <t>フ</t>
    </rPh>
    <phoneticPr fontId="18"/>
  </si>
  <si>
    <t>名前</t>
  </si>
  <si>
    <t>進捗状況</t>
  </si>
  <si>
    <t>終了日</t>
  </si>
  <si>
    <t>パートナー企業管理</t>
    <rPh sb="5" eb="7">
      <t>キギョウ</t>
    </rPh>
    <rPh sb="7" eb="9">
      <t>カンリ</t>
    </rPh>
    <phoneticPr fontId="18"/>
  </si>
  <si>
    <t>保留</t>
  </si>
  <si>
    <t>所属プロジェクト/カテゴリ</t>
    <phoneticPr fontId="18"/>
  </si>
  <si>
    <t>PCセットアップ</t>
    <phoneticPr fontId="18"/>
  </si>
  <si>
    <t>購入PCが到着</t>
    <rPh sb="0" eb="2">
      <t>コウニュウ</t>
    </rPh>
    <rPh sb="5" eb="7">
      <t>トウチャク</t>
    </rPh>
    <phoneticPr fontId="18"/>
  </si>
  <si>
    <t>キッティング</t>
    <phoneticPr fontId="18"/>
  </si>
  <si>
    <r>
      <rPr>
        <sz val="11"/>
        <color theme="1"/>
        <rFont val="Segoe UI Symbol"/>
        <family val="3"/>
      </rPr>
      <t>☁</t>
    </r>
    <r>
      <rPr>
        <sz val="11"/>
        <color theme="1"/>
        <rFont val="游ゴシック"/>
        <family val="3"/>
        <charset val="128"/>
        <scheme val="minor"/>
      </rPr>
      <t xml:space="preserve"> 遅延</t>
    </r>
    <phoneticPr fontId="18"/>
  </si>
  <si>
    <r>
      <rPr>
        <sz val="11"/>
        <color theme="1"/>
        <rFont val="Segoe UI Symbol"/>
        <family val="2"/>
      </rPr>
      <t>☀</t>
    </r>
    <r>
      <rPr>
        <sz val="11"/>
        <color theme="1"/>
        <rFont val="游ゴシック"/>
        <family val="3"/>
        <charset val="128"/>
        <scheme val="minor"/>
      </rPr>
      <t xml:space="preserve"> 順調</t>
    </r>
    <phoneticPr fontId="18"/>
  </si>
  <si>
    <r>
      <rPr>
        <sz val="11"/>
        <color theme="1"/>
        <rFont val="游ゴシック"/>
        <family val="2"/>
        <charset val="128"/>
      </rPr>
      <t>☀</t>
    </r>
    <r>
      <rPr>
        <sz val="11"/>
        <color theme="1"/>
        <rFont val="游ゴシック"/>
        <family val="3"/>
        <charset val="128"/>
        <scheme val="minor"/>
      </rPr>
      <t xml:space="preserve"> 順調</t>
    </r>
    <phoneticPr fontId="18"/>
  </si>
  <si>
    <r>
      <rPr>
        <sz val="11"/>
        <color theme="1"/>
        <rFont val="Segoe UI Symbol"/>
        <family val="2"/>
      </rPr>
      <t>☂</t>
    </r>
    <r>
      <rPr>
        <sz val="11"/>
        <color theme="1"/>
        <rFont val="游ゴシック"/>
        <family val="3"/>
        <charset val="128"/>
        <scheme val="minor"/>
      </rPr>
      <t xml:space="preserve"> 停滞</t>
    </r>
    <phoneticPr fontId="18"/>
  </si>
  <si>
    <t>工数(日)</t>
    <rPh sb="0" eb="2">
      <t>コウスウ</t>
    </rPh>
    <rPh sb="3" eb="4">
      <t>ニチ</t>
    </rPh>
    <phoneticPr fontId="18"/>
  </si>
  <si>
    <t>0.375/週</t>
    <phoneticPr fontId="18"/>
  </si>
  <si>
    <t>0.3/週</t>
    <rPh sb="4" eb="5">
      <t>シュウ</t>
    </rPh>
    <phoneticPr fontId="18"/>
  </si>
  <si>
    <t>0.01/週</t>
    <rPh sb="5" eb="6">
      <t>シュウ</t>
    </rPh>
    <phoneticPr fontId="18"/>
  </si>
  <si>
    <t>適宜</t>
    <rPh sb="0" eb="2">
      <t>テキギ</t>
    </rPh>
    <phoneticPr fontId="18"/>
  </si>
  <si>
    <t>ナレッジ</t>
    <phoneticPr fontId="18"/>
  </si>
  <si>
    <t>全社</t>
    <rPh sb="0" eb="2">
      <t>ゼンシャ</t>
    </rPh>
    <phoneticPr fontId="18"/>
  </si>
  <si>
    <t>パートナー登録してるけど動いていないものなどをチェックしたい</t>
    <rPh sb="5" eb="7">
      <t>トウロク</t>
    </rPh>
    <rPh sb="12" eb="13">
      <t>ウゴ</t>
    </rPh>
    <phoneticPr fontId="18"/>
  </si>
  <si>
    <t>例）AWS　変なアドレスに来ている（田代さんだけ管理している）、HPE</t>
    <rPh sb="0" eb="1">
      <t>レイ</t>
    </rPh>
    <rPh sb="6" eb="7">
      <t>ヘン</t>
    </rPh>
    <rPh sb="13" eb="14">
      <t>キ</t>
    </rPh>
    <rPh sb="18" eb="20">
      <t>タシロ</t>
    </rPh>
    <rPh sb="24" eb="26">
      <t>カンリ</t>
    </rPh>
    <phoneticPr fontId="18"/>
  </si>
  <si>
    <r>
      <t>パートナー　</t>
    </r>
    <r>
      <rPr>
        <b/>
        <sz val="11"/>
        <color rgb="FFFF0000"/>
        <rFont val="游ゴシック"/>
        <family val="3"/>
        <charset val="128"/>
        <scheme val="minor"/>
      </rPr>
      <t>co.jpに来ているもの</t>
    </r>
    <rPh sb="12" eb="13">
      <t>キ</t>
    </rPh>
    <phoneticPr fontId="18"/>
  </si>
  <si>
    <t>└管理者アカウントを決まったアドレスで統一・管理していく（なので今どこに来ているのか分からないと進まない）</t>
    <rPh sb="1" eb="4">
      <t>カンリシャ</t>
    </rPh>
    <rPh sb="10" eb="11">
      <t>キ</t>
    </rPh>
    <rPh sb="19" eb="21">
      <t>トウイツ</t>
    </rPh>
    <rPh sb="22" eb="24">
      <t>カンリ</t>
    </rPh>
    <rPh sb="32" eb="33">
      <t>イマ</t>
    </rPh>
    <rPh sb="36" eb="37">
      <t>キ</t>
    </rPh>
    <rPh sb="42" eb="43">
      <t>ワ</t>
    </rPh>
    <rPh sb="48" eb="49">
      <t>スス</t>
    </rPh>
    <phoneticPr fontId="18"/>
  </si>
  <si>
    <t>ぽちっとなど、～co.jpになっているものが多いらしいので、技術部側で管理しているものをリストをチェックしなければいけない</t>
    <rPh sb="22" eb="23">
      <t>オオ</t>
    </rPh>
    <rPh sb="30" eb="32">
      <t>ギジュツ</t>
    </rPh>
    <rPh sb="32" eb="33">
      <t>ブ</t>
    </rPh>
    <rPh sb="33" eb="34">
      <t>ガワ</t>
    </rPh>
    <rPh sb="35" eb="37">
      <t>カンリ</t>
    </rPh>
    <phoneticPr fontId="18"/>
  </si>
  <si>
    <t>└杉山さん、洙田さん、もしくは田代さんが把握しているかも</t>
    <rPh sb="1" eb="3">
      <t>スギヤマ</t>
    </rPh>
    <rPh sb="6" eb="8">
      <t>ナメダ</t>
    </rPh>
    <rPh sb="15" eb="17">
      <t>タシロ</t>
    </rPh>
    <rPh sb="20" eb="22">
      <t>ハアク</t>
    </rPh>
    <phoneticPr fontId="18"/>
  </si>
  <si>
    <t>　└なければリストにして</t>
    <phoneticPr fontId="18"/>
  </si>
  <si>
    <t>　　└SSL証明書をincで取らないといけない</t>
    <rPh sb="6" eb="9">
      <t>ショウメイショ</t>
    </rPh>
    <rPh sb="14" eb="15">
      <t>ト</t>
    </rPh>
    <phoneticPr fontId="18"/>
  </si>
  <si>
    <t>　　　└早めにスケジュールを組まないと</t>
    <rPh sb="4" eb="5">
      <t>ハヤ</t>
    </rPh>
    <rPh sb="14" eb="15">
      <t>ク</t>
    </rPh>
    <phoneticPr fontId="18"/>
  </si>
  <si>
    <t>　　　　└切り替えるもの、要らないもの</t>
    <rPh sb="5" eb="6">
      <t>キ</t>
    </rPh>
    <rPh sb="7" eb="8">
      <t>カ</t>
    </rPh>
    <rPh sb="13" eb="14">
      <t>イ</t>
    </rPh>
    <phoneticPr fontId="18"/>
  </si>
  <si>
    <t>→池田さんのイメージに合っているかわからない</t>
    <rPh sb="1" eb="3">
      <t>イケダ</t>
    </rPh>
    <rPh sb="11" eb="12">
      <t>ア</t>
    </rPh>
    <phoneticPr fontId="18"/>
  </si>
  <si>
    <t>列1</t>
    <rPh sb="0" eb="2">
      <t>イケダア</t>
    </rPh>
    <phoneticPr fontId="18"/>
  </si>
  <si>
    <t>NTTからのメール</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</si>
</sst>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
    <numFmt numFmtId="177" formatCode="0.00_);[Red]\(0.00\)"/>
  </numFmts>
  <fonts count="25">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游ゴシック"/>
      <family val="2"/>
      <charset val="128"/>
    </font>
    <font>
      <sz val="11"/>
      <color theme="1"/>
      <name val="游ゴシック"/>
      <family val="3"/>
      <charset val="128"/>
      <scheme val="minor"/>
    </font>
    <font>
      <sz val="11"/>
      <color theme="1"/>
      <name val="Segoe UI Symbol"/>
      <family val="2"/>
    </font>
    <font>
      <sz val="11"/>
      <color theme="1"/>
      <name val="Segoe UI Symbol"/>
      <family val="3"/>
    </font>
    <font>
      <b/>
      <sz val="11"/>
      <color rgb="FFFF0000"/>
      <name val="游ゴシック"/>
      <family val="3"/>
      <charset val="128"/>
      <scheme val="minor"/>
    </font>
    <font>
      <sz val="9"/>
      <color indexed="81"/>
      <name val="MS P ゴシック"/>
      <family val="3"/>
      <charset val="128"/>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1">
    <xf numFmtId="0" fontId="0" fillId="0" borderId="0" xfId="0">
      <alignment vertical="center"/>
    </xf>
    <xf numFmtId="0" fontId="0" fillId="0" borderId="0" xfId="0" applyAlignment="1">
      <alignment horizontal="center" vertical="center"/>
    </xf>
    <xf numFmtId="176" fontId="0" fillId="0" borderId="0" xfId="0" applyNumberFormat="1" applyAlignment="1">
      <alignment horizontal="center" vertical="center"/>
    </xf>
    <xf numFmtId="176" fontId="0" fillId="0" borderId="0" xfId="0" applyNumberFormat="1">
      <alignment vertical="center"/>
    </xf>
    <xf numFmtId="56" fontId="0" fillId="0" borderId="0" xfId="0" applyNumberFormat="1" applyAlignment="1">
      <alignment horizontal="center" vertical="center"/>
    </xf>
    <xf numFmtId="0" fontId="0" fillId="0" borderId="0" xfId="0" applyAlignment="1">
      <alignment horizontal="center" vertical="center" wrapText="1"/>
    </xf>
    <xf numFmtId="176" fontId="0" fillId="0" borderId="0" xfId="0" applyNumberFormat="1" applyAlignment="1">
      <alignment horizontal="center" vertical="center" wrapText="1"/>
    </xf>
    <xf numFmtId="14" fontId="0" fillId="0" borderId="0" xfId="0" applyNumberFormat="1" applyAlignment="1">
      <alignment horizontal="center" vertical="center"/>
    </xf>
    <xf numFmtId="0" fontId="20" fillId="0" borderId="0" xfId="0" applyFont="1" applyAlignment="1">
      <alignment horizontal="center" vertical="center"/>
    </xf>
    <xf numFmtId="177" fontId="0" fillId="0" borderId="0" xfId="0" applyNumberFormat="1" applyAlignment="1">
      <alignment horizontal="center" vertical="center"/>
    </xf>
    <xf numFmtId="177" fontId="17" fillId="0" borderId="0" xfId="0" applyNumberFormat="1" applyFont="1" applyAlignment="1">
      <alignment horizontal="center"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9">
    <dxf>
      <numFmt numFmtId="176" formatCode="m/d;@"/>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yyyy/m/d"/>
      <alignment horizontal="center" vertical="center" textRotation="0" wrapText="0" indent="0" justifyLastLine="0" shrinkToFit="0" readingOrder="0"/>
    </dxf>
    <dxf>
      <numFmt numFmtId="19" formatCode="yyyy/m/d"/>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ユーザーサイド 赤坂 和幸" id="{07E91F77-A29D-4FD0-91EA-BC524CCA21B5}" userId="S::akasaka.kazuyuki@userside.inc::bbf26558-cfde-460a-b225-4e44c0695b0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C74EBA-4A42-4BEC-9CCC-141FE2DA232E}" name="テーブル13" displayName="テーブル13" ref="A1:G6" totalsRowShown="0" headerRowDxfId="8">
  <autoFilter ref="A1:G6" xr:uid="{35C74EBA-4A42-4BEC-9CCC-141FE2DA232E}"/>
  <sortState xmlns:xlrd2="http://schemas.microsoft.com/office/spreadsheetml/2017/richdata2" ref="A2:G6">
    <sortCondition ref="G1:G6"/>
  </sortState>
  <tableColumns count="7">
    <tableColumn id="1" xr3:uid="{9CA1B194-B83E-4347-9937-99A28AADD3D9}" name="名前"/>
    <tableColumn id="3" xr3:uid="{875B26C5-8451-4872-BA09-DA4A7A6A62F0}" name="カテゴリ" dataDxfId="7"/>
    <tableColumn id="4" xr3:uid="{35DCD041-1F0B-4A98-BC93-2E61F1EE5A43}" name="進捗状況" dataDxfId="6"/>
    <tableColumn id="5" xr3:uid="{95CDA170-FDC9-4B05-8F31-BB559A2457EC}" name="ステータス" dataDxfId="5"/>
    <tableColumn id="6" xr3:uid="{DEE7564D-C596-4BE4-9A20-25C2550025C3}" name="担当者" dataDxfId="4"/>
    <tableColumn id="7" xr3:uid="{32356E6F-0F58-4EBC-9E81-5E9BD0D82C77}" name="開始日" dataDxfId="3"/>
    <tableColumn id="8" xr3:uid="{D2AF2EDB-F782-44AB-8B6F-249A3780A104}" name="終了日" dataDxfId="2"/>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F6E57A-697A-47D6-B2D8-F4BBF18FC4D8}" name="テーブル1" displayName="テーブル1" ref="A1:O174" totalsRowShown="0" headerRowDxfId="1">
  <autoFilter ref="A1:O174" xr:uid="{21F6E57A-697A-47D6-B2D8-F4BBF18FC4D8}">
    <filterColumn colId="2">
      <filters>
        <filter val="No"/>
      </filters>
    </filterColumn>
    <filterColumn colId="4">
      <filters blank="1"/>
    </filterColumn>
  </autoFilter>
  <sortState xmlns:xlrd2="http://schemas.microsoft.com/office/spreadsheetml/2017/richdata2" ref="A2:N173">
    <sortCondition ref="H1:H173"/>
  </sortState>
  <tableColumns count="15">
    <tableColumn id="1" xr3:uid="{68C9E859-73AA-4A48-8E16-48C39FDC4E76}" name="所属プロジェクト/カテゴリ"/>
    <tableColumn id="2" xr3:uid="{33B41395-1A20-43B0-AC83-5B821F08ADEA}" name="タスク名"/>
    <tableColumn id="4" xr3:uid="{17DF261E-5B1B-48C5-9796-F175DE5F664D}" name="アーカイブ済み"/>
    <tableColumn id="5" xr3:uid="{9A7C9B05-540B-4C6A-9A05-DF8FFD26D238}" name="カテゴリ"/>
    <tableColumn id="20" xr3:uid="{6ABECC5B-6E00-47B9-AE27-4FEF32A31AF1}" name="サブ_x000a_タスク"/>
    <tableColumn id="6" xr3:uid="{6C028CA7-8606-4C13-91BF-8F4813380002}" name="ステータス"/>
    <tableColumn id="8" xr3:uid="{CCDEA89E-539C-4695-A4ED-09CAF83FB2C5}" name="実施予定日"/>
    <tableColumn id="14" xr3:uid="{DD97E2F4-37A2-4D31-A0C4-E1684687D9A1}" name="締切"/>
    <tableColumn id="21" xr3:uid="{5073E8E1-4038-49F8-8AEA-36E5A4954E9E}" name="工数(日)" dataDxfId="0">
      <calculatedColumnFormula>2</calculatedColumnFormula>
    </tableColumn>
    <tableColumn id="9" xr3:uid="{F62CAFA4-1F84-42AC-8E08-083A1BA13240}" name="担当AI"/>
    <tableColumn id="10" xr3:uid="{A6D2D016-BB44-487A-8524-CBB3D9FFA1C1}" name="担当者"/>
    <tableColumn id="11" xr3:uid="{C92B6879-E9BE-4285-9B09-91E9F6CEFE4D}" name="次アクション"/>
    <tableColumn id="12" xr3:uid="{FA2D8EA3-E6BE-4071-9D86-3F4D2498E895}" name="種別"/>
    <tableColumn id="15" xr3:uid="{112D4585-63EA-4C1E-9E6C-F257E67723A2}" name="背景メモ"/>
    <tableColumn id="3" xr3:uid="{E674D589-AE8E-4622-B9BC-CDECA6DB48C3}" name="列1"/>
  </tableColumns>
  <tableStyleInfo name="TableStyleMedium4"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93" dT="2026-02-13T01:53:00.75" personId="{07E91F77-A29D-4FD0-91EA-BC524CCA21B5}" id="{EE32225F-DA14-49BD-BF9F-BB8273911749}">
    <text xml:space="preserve">(1) メーリングリストの洗い出し、ドメインがco.jpになっているものの洗い出し
(2) リスト化※すでにある場合は省略
(3) 移行するのか削除するのか方針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2CB51-67BC-45E8-B737-5E8043112E84}">
  <dimension ref="A1:I6"/>
  <sheetViews>
    <sheetView workbookViewId="0">
      <selection activeCell="I3" sqref="I3"/>
    </sheetView>
  </sheetViews>
  <sheetFormatPr defaultRowHeight="18.75"/>
  <cols>
    <col min="1" max="1" width="33.75" customWidth="1"/>
    <col min="2" max="2" width="10.375" customWidth="1"/>
    <col min="3" max="3" width="10.25" customWidth="1"/>
    <col min="4" max="4" width="10.625" customWidth="1"/>
    <col min="5" max="5" width="10.375" customWidth="1"/>
    <col min="6" max="7" width="14" style="7" customWidth="1"/>
  </cols>
  <sheetData>
    <row r="1" spans="1:9">
      <c r="A1" s="1" t="s">
        <v>289</v>
      </c>
      <c r="B1" s="1" t="s">
        <v>2</v>
      </c>
      <c r="C1" s="1" t="s">
        <v>290</v>
      </c>
      <c r="D1" s="1" t="s">
        <v>3</v>
      </c>
      <c r="E1" s="1" t="s">
        <v>5</v>
      </c>
      <c r="F1" s="7" t="s">
        <v>10</v>
      </c>
      <c r="G1" s="7" t="s">
        <v>291</v>
      </c>
    </row>
    <row r="2" spans="1:9">
      <c r="A2" t="s">
        <v>292</v>
      </c>
      <c r="B2" s="1" t="s">
        <v>21</v>
      </c>
      <c r="C2" s="1" t="s">
        <v>300</v>
      </c>
      <c r="D2" s="1" t="s">
        <v>40</v>
      </c>
      <c r="E2" s="1" t="s">
        <v>235</v>
      </c>
      <c r="F2" s="7">
        <v>46052</v>
      </c>
      <c r="G2" s="7">
        <v>46073</v>
      </c>
      <c r="I2" t="s">
        <v>309</v>
      </c>
    </row>
    <row r="3" spans="1:9">
      <c r="A3" t="s">
        <v>233</v>
      </c>
      <c r="B3" s="1" t="s">
        <v>17</v>
      </c>
      <c r="C3" s="1" t="s">
        <v>299</v>
      </c>
      <c r="D3" s="1" t="s">
        <v>40</v>
      </c>
      <c r="E3" s="1" t="s">
        <v>235</v>
      </c>
      <c r="G3" s="7">
        <v>46234</v>
      </c>
    </row>
    <row r="4" spans="1:9">
      <c r="A4" t="s">
        <v>227</v>
      </c>
      <c r="B4" s="1" t="s">
        <v>13</v>
      </c>
      <c r="C4" s="1" t="s">
        <v>299</v>
      </c>
      <c r="D4" s="1" t="s">
        <v>40</v>
      </c>
      <c r="E4" s="1"/>
      <c r="G4" s="7">
        <v>46248</v>
      </c>
    </row>
    <row r="5" spans="1:9">
      <c r="A5" t="s">
        <v>231</v>
      </c>
      <c r="B5" s="1" t="s">
        <v>17</v>
      </c>
      <c r="C5" s="8" t="s">
        <v>298</v>
      </c>
      <c r="D5" s="1" t="s">
        <v>40</v>
      </c>
      <c r="E5" s="1" t="s">
        <v>235</v>
      </c>
      <c r="G5" s="7">
        <v>46327</v>
      </c>
    </row>
    <row r="6" spans="1:9">
      <c r="A6" t="s">
        <v>275</v>
      </c>
      <c r="B6" s="1" t="s">
        <v>21</v>
      </c>
      <c r="C6" s="1" t="s">
        <v>301</v>
      </c>
      <c r="D6" s="1" t="s">
        <v>293</v>
      </c>
      <c r="E6" s="1" t="s">
        <v>235</v>
      </c>
      <c r="G6" s="7" t="s">
        <v>284</v>
      </c>
    </row>
  </sheetData>
  <phoneticPr fontId="18"/>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A2DF1-51CA-42AF-A5AF-51A42CE32B66}">
  <dimension ref="A1:O187"/>
  <sheetViews>
    <sheetView tabSelected="1" workbookViewId="0">
      <pane xSplit="1" ySplit="1" topLeftCell="B7" activePane="bottomRight" state="frozen"/>
      <selection pane="topRight" activeCell="B1" sqref="B1"/>
      <selection pane="bottomLeft" activeCell="A2" sqref="A2"/>
      <selection pane="bottomRight" activeCell="B175" sqref="B175"/>
    </sheetView>
  </sheetViews>
  <sheetFormatPr defaultRowHeight="18.75"/>
  <cols>
    <col min="1" max="1" width="28.25" customWidth="1"/>
    <col min="2" max="2" width="30.125" customWidth="1"/>
    <col min="3" max="3" width="4.875" style="1" customWidth="1"/>
    <col min="4" max="5" width="8.125" style="1" customWidth="1"/>
    <col min="6" max="6" width="10.25" customWidth="1"/>
    <col min="7" max="7" width="7.125" style="2" customWidth="1"/>
    <col min="8" max="8" width="9" style="2"/>
    <col min="9" max="9" width="9" style="9"/>
    <col min="10" max="10" width="10.25" style="1" customWidth="1"/>
    <col min="11" max="11" width="9" style="1"/>
    <col min="12" max="12" width="0" hidden="1" customWidth="1"/>
    <col min="13" max="13" width="12.125" style="1" hidden="1" customWidth="1"/>
    <col min="14" max="14" width="19.875" customWidth="1"/>
    <col min="15" max="15" width="10.25" customWidth="1"/>
    <col min="17" max="17" width="12.125" customWidth="1"/>
  </cols>
  <sheetData>
    <row r="1" spans="1:15" ht="34.5" customHeight="1">
      <c r="A1" s="5" t="s">
        <v>294</v>
      </c>
      <c r="B1" s="5" t="s">
        <v>0</v>
      </c>
      <c r="C1" s="5" t="s">
        <v>1</v>
      </c>
      <c r="D1" s="5" t="s">
        <v>2</v>
      </c>
      <c r="E1" s="5" t="s">
        <v>272</v>
      </c>
      <c r="F1" s="5" t="s">
        <v>3</v>
      </c>
      <c r="G1" s="6" t="s">
        <v>267</v>
      </c>
      <c r="H1" s="6" t="s">
        <v>8</v>
      </c>
      <c r="I1" s="10" t="s">
        <v>302</v>
      </c>
      <c r="J1" s="5" t="s">
        <v>4</v>
      </c>
      <c r="K1" s="5" t="s">
        <v>5</v>
      </c>
      <c r="L1" s="1" t="s">
        <v>6</v>
      </c>
      <c r="M1" s="5" t="s">
        <v>7</v>
      </c>
      <c r="N1" s="5" t="s">
        <v>9</v>
      </c>
      <c r="O1" s="1" t="s">
        <v>320</v>
      </c>
    </row>
    <row r="2" spans="1:15">
      <c r="A2" t="s">
        <v>277</v>
      </c>
      <c r="B2" t="s">
        <v>210</v>
      </c>
      <c r="C2" s="1" t="s">
        <v>12</v>
      </c>
      <c r="D2" s="1" t="s">
        <v>21</v>
      </c>
      <c r="F2" t="s">
        <v>40</v>
      </c>
      <c r="G2" s="2">
        <v>46062</v>
      </c>
      <c r="H2" s="2">
        <v>46062</v>
      </c>
      <c r="I2" s="9">
        <f>2</f>
        <v>2</v>
      </c>
      <c r="J2" s="1" t="s">
        <v>241</v>
      </c>
      <c r="K2" s="1" t="s">
        <v>236</v>
      </c>
      <c r="L2" t="s">
        <v>211</v>
      </c>
      <c r="M2" s="1" t="s">
        <v>118</v>
      </c>
      <c r="N2" t="s">
        <v>256</v>
      </c>
      <c r="O2" t="s">
        <v>319</v>
      </c>
    </row>
    <row r="3" spans="1:15" hidden="1">
      <c r="A3" t="s">
        <v>226</v>
      </c>
      <c r="B3" t="s">
        <v>31</v>
      </c>
      <c r="C3" t="s">
        <v>28</v>
      </c>
      <c r="D3" t="s">
        <v>21</v>
      </c>
      <c r="E3"/>
      <c r="F3" t="s">
        <v>18</v>
      </c>
      <c r="G3" t="s">
        <v>32</v>
      </c>
      <c r="H3"/>
      <c r="I3" s="3">
        <f>2</f>
        <v>2</v>
      </c>
      <c r="J3"/>
      <c r="K3"/>
      <c r="M3" t="s">
        <v>33</v>
      </c>
    </row>
    <row r="4" spans="1:15">
      <c r="A4" t="s">
        <v>277</v>
      </c>
      <c r="B4" t="s">
        <v>283</v>
      </c>
      <c r="C4" s="1" t="s">
        <v>12</v>
      </c>
      <c r="D4" s="1" t="s">
        <v>21</v>
      </c>
      <c r="F4" t="s">
        <v>14</v>
      </c>
      <c r="H4" s="2">
        <v>46066</v>
      </c>
      <c r="I4" s="9">
        <v>1</v>
      </c>
      <c r="K4" s="1" t="s">
        <v>236</v>
      </c>
      <c r="M4" s="1" t="s">
        <v>118</v>
      </c>
      <c r="N4" t="s">
        <v>242</v>
      </c>
    </row>
    <row r="5" spans="1:15" hidden="1">
      <c r="A5" t="s">
        <v>226</v>
      </c>
      <c r="B5" t="s">
        <v>156</v>
      </c>
      <c r="C5" t="s">
        <v>28</v>
      </c>
      <c r="D5" t="s">
        <v>21</v>
      </c>
      <c r="E5"/>
      <c r="F5" t="s">
        <v>18</v>
      </c>
      <c r="G5" t="s">
        <v>157</v>
      </c>
      <c r="H5"/>
      <c r="I5" s="3">
        <f>2</f>
        <v>2</v>
      </c>
      <c r="J5"/>
      <c r="K5"/>
      <c r="M5" t="s">
        <v>44</v>
      </c>
    </row>
    <row r="6" spans="1:15">
      <c r="A6" t="s">
        <v>277</v>
      </c>
      <c r="B6" t="s">
        <v>281</v>
      </c>
      <c r="C6" s="1" t="s">
        <v>12</v>
      </c>
      <c r="D6" s="1" t="s">
        <v>43</v>
      </c>
      <c r="F6" t="s">
        <v>174</v>
      </c>
      <c r="G6" s="2">
        <v>46052</v>
      </c>
      <c r="H6" s="2">
        <v>46066</v>
      </c>
      <c r="I6" s="9">
        <f>1/8</f>
        <v>0.125</v>
      </c>
      <c r="K6" s="1" t="s">
        <v>236</v>
      </c>
      <c r="L6" t="s">
        <v>175</v>
      </c>
      <c r="M6" s="1" t="s">
        <v>118</v>
      </c>
      <c r="N6" t="s">
        <v>255</v>
      </c>
    </row>
    <row r="7" spans="1:15">
      <c r="A7" t="s">
        <v>282</v>
      </c>
      <c r="B7" t="s">
        <v>217</v>
      </c>
      <c r="C7" s="1" t="s">
        <v>12</v>
      </c>
      <c r="D7" s="1" t="s">
        <v>244</v>
      </c>
      <c r="F7" t="s">
        <v>14</v>
      </c>
      <c r="H7" s="2">
        <v>46066</v>
      </c>
      <c r="I7" s="9">
        <f>4/8</f>
        <v>0.5</v>
      </c>
      <c r="K7" s="1" t="s">
        <v>240</v>
      </c>
      <c r="M7" s="1" t="s">
        <v>307</v>
      </c>
      <c r="N7" t="s">
        <v>271</v>
      </c>
    </row>
    <row r="8" spans="1:15">
      <c r="A8" t="s">
        <v>297</v>
      </c>
      <c r="B8" t="s">
        <v>295</v>
      </c>
      <c r="C8" s="1" t="s">
        <v>12</v>
      </c>
      <c r="D8" s="1" t="s">
        <v>17</v>
      </c>
      <c r="F8" t="s">
        <v>14</v>
      </c>
      <c r="H8" s="2">
        <v>46066</v>
      </c>
      <c r="I8" s="9">
        <f>3/8</f>
        <v>0.375</v>
      </c>
      <c r="K8" s="1" t="s">
        <v>240</v>
      </c>
      <c r="M8" s="1" t="s">
        <v>297</v>
      </c>
      <c r="N8" t="s">
        <v>296</v>
      </c>
    </row>
    <row r="9" spans="1:15" hidden="1">
      <c r="A9" t="s">
        <v>228</v>
      </c>
      <c r="B9" t="s">
        <v>145</v>
      </c>
      <c r="C9" t="s">
        <v>12</v>
      </c>
      <c r="D9" t="s">
        <v>13</v>
      </c>
      <c r="E9" s="1" t="s">
        <v>273</v>
      </c>
      <c r="F9" t="s">
        <v>14</v>
      </c>
      <c r="G9" s="3"/>
      <c r="H9" s="3"/>
      <c r="I9" s="3">
        <f>2</f>
        <v>2</v>
      </c>
      <c r="J9"/>
      <c r="K9" t="s">
        <v>15</v>
      </c>
      <c r="M9"/>
      <c r="N9" t="s">
        <v>146</v>
      </c>
    </row>
    <row r="10" spans="1:15" hidden="1">
      <c r="A10" t="s">
        <v>228</v>
      </c>
      <c r="B10" t="s">
        <v>56</v>
      </c>
      <c r="C10" t="s">
        <v>12</v>
      </c>
      <c r="D10" t="s">
        <v>13</v>
      </c>
      <c r="E10" s="1" t="s">
        <v>273</v>
      </c>
      <c r="F10" t="s">
        <v>14</v>
      </c>
      <c r="G10" s="3"/>
      <c r="H10" s="3"/>
      <c r="I10" s="3">
        <f>2</f>
        <v>2</v>
      </c>
      <c r="J10"/>
      <c r="K10" t="s">
        <v>15</v>
      </c>
      <c r="M10"/>
      <c r="N10" t="s">
        <v>57</v>
      </c>
    </row>
    <row r="11" spans="1:15" hidden="1">
      <c r="A11" t="s">
        <v>228</v>
      </c>
      <c r="B11" t="s">
        <v>27</v>
      </c>
      <c r="C11" t="s">
        <v>28</v>
      </c>
      <c r="D11"/>
      <c r="E11"/>
      <c r="F11" t="s">
        <v>18</v>
      </c>
      <c r="G11" t="s">
        <v>29</v>
      </c>
      <c r="H11"/>
      <c r="I11" s="3">
        <f>2</f>
        <v>2</v>
      </c>
      <c r="J11"/>
      <c r="K11" t="s">
        <v>15</v>
      </c>
      <c r="M11"/>
      <c r="N11" t="s">
        <v>30</v>
      </c>
    </row>
    <row r="12" spans="1:15" hidden="1">
      <c r="A12" t="s">
        <v>228</v>
      </c>
      <c r="B12" t="s">
        <v>111</v>
      </c>
      <c r="C12" t="s">
        <v>12</v>
      </c>
      <c r="D12" t="s">
        <v>13</v>
      </c>
      <c r="E12" s="1" t="s">
        <v>273</v>
      </c>
      <c r="F12" t="s">
        <v>40</v>
      </c>
      <c r="G12" s="3"/>
      <c r="H12" s="3"/>
      <c r="I12" s="3">
        <f>2</f>
        <v>2</v>
      </c>
      <c r="J12"/>
      <c r="K12" t="s">
        <v>15</v>
      </c>
      <c r="M12"/>
      <c r="N12" t="s">
        <v>112</v>
      </c>
    </row>
    <row r="13" spans="1:15" hidden="1">
      <c r="A13" t="s">
        <v>228</v>
      </c>
      <c r="B13" t="s">
        <v>120</v>
      </c>
      <c r="C13" t="s">
        <v>12</v>
      </c>
      <c r="D13" t="s">
        <v>13</v>
      </c>
      <c r="E13" s="1" t="s">
        <v>273</v>
      </c>
      <c r="F13" t="s">
        <v>14</v>
      </c>
      <c r="G13" s="3"/>
      <c r="H13" s="3"/>
      <c r="I13" s="3">
        <f>2</f>
        <v>2</v>
      </c>
      <c r="J13"/>
      <c r="K13" t="s">
        <v>15</v>
      </c>
      <c r="M13"/>
      <c r="N13" t="s">
        <v>121</v>
      </c>
    </row>
    <row r="14" spans="1:15" hidden="1">
      <c r="A14" t="s">
        <v>228</v>
      </c>
      <c r="B14" t="s">
        <v>106</v>
      </c>
      <c r="C14" t="s">
        <v>12</v>
      </c>
      <c r="D14" t="s">
        <v>13</v>
      </c>
      <c r="E14" s="1" t="s">
        <v>273</v>
      </c>
      <c r="F14" t="s">
        <v>14</v>
      </c>
      <c r="G14" s="3"/>
      <c r="H14" s="3"/>
      <c r="I14" s="3">
        <f>2</f>
        <v>2</v>
      </c>
      <c r="J14"/>
      <c r="K14" t="s">
        <v>15</v>
      </c>
      <c r="M14"/>
      <c r="N14" t="s">
        <v>107</v>
      </c>
    </row>
    <row r="15" spans="1:15" hidden="1">
      <c r="A15" t="s">
        <v>228</v>
      </c>
      <c r="B15" t="s">
        <v>90</v>
      </c>
      <c r="C15" t="s">
        <v>12</v>
      </c>
      <c r="D15" t="s">
        <v>13</v>
      </c>
      <c r="E15" s="1" t="s">
        <v>273</v>
      </c>
      <c r="F15" t="s">
        <v>14</v>
      </c>
      <c r="G15" s="3"/>
      <c r="H15" s="3"/>
      <c r="I15" s="3">
        <f>2</f>
        <v>2</v>
      </c>
      <c r="J15"/>
      <c r="K15" t="s">
        <v>15</v>
      </c>
      <c r="M15"/>
    </row>
    <row r="16" spans="1:15" hidden="1">
      <c r="A16" t="s">
        <v>228</v>
      </c>
      <c r="B16" t="s">
        <v>128</v>
      </c>
      <c r="C16" t="s">
        <v>12</v>
      </c>
      <c r="D16" t="s">
        <v>13</v>
      </c>
      <c r="E16" s="1" t="s">
        <v>273</v>
      </c>
      <c r="F16" t="s">
        <v>14</v>
      </c>
      <c r="G16" s="3"/>
      <c r="H16" s="3"/>
      <c r="I16" s="3">
        <f>2</f>
        <v>2</v>
      </c>
      <c r="J16"/>
      <c r="K16" t="s">
        <v>15</v>
      </c>
      <c r="M16"/>
    </row>
    <row r="17" spans="1:13" hidden="1">
      <c r="A17" t="s">
        <v>228</v>
      </c>
      <c r="B17" t="s">
        <v>108</v>
      </c>
      <c r="C17" t="s">
        <v>12</v>
      </c>
      <c r="D17" t="s">
        <v>13</v>
      </c>
      <c r="E17" s="1" t="s">
        <v>273</v>
      </c>
      <c r="F17" t="s">
        <v>14</v>
      </c>
      <c r="G17" s="3"/>
      <c r="H17" s="3"/>
      <c r="I17" s="3">
        <f>2</f>
        <v>2</v>
      </c>
      <c r="J17"/>
      <c r="K17" t="s">
        <v>15</v>
      </c>
      <c r="M17"/>
    </row>
    <row r="18" spans="1:13" hidden="1">
      <c r="A18" t="s">
        <v>228</v>
      </c>
      <c r="B18" t="s">
        <v>95</v>
      </c>
      <c r="C18" t="s">
        <v>12</v>
      </c>
      <c r="D18" t="s">
        <v>13</v>
      </c>
      <c r="E18" s="1" t="s">
        <v>273</v>
      </c>
      <c r="F18" t="s">
        <v>14</v>
      </c>
      <c r="G18" s="3"/>
      <c r="H18" s="3"/>
      <c r="I18" s="3">
        <f>2</f>
        <v>2</v>
      </c>
      <c r="J18"/>
      <c r="K18" t="s">
        <v>15</v>
      </c>
      <c r="M18"/>
    </row>
    <row r="19" spans="1:13" hidden="1">
      <c r="A19" t="s">
        <v>228</v>
      </c>
      <c r="B19" t="s">
        <v>92</v>
      </c>
      <c r="C19" t="s">
        <v>12</v>
      </c>
      <c r="D19" t="s">
        <v>13</v>
      </c>
      <c r="E19" s="1" t="s">
        <v>273</v>
      </c>
      <c r="F19" t="s">
        <v>14</v>
      </c>
      <c r="G19" s="3"/>
      <c r="H19" s="3"/>
      <c r="I19" s="3">
        <f>2</f>
        <v>2</v>
      </c>
      <c r="J19"/>
      <c r="K19" t="s">
        <v>15</v>
      </c>
      <c r="M19"/>
    </row>
    <row r="20" spans="1:13" hidden="1">
      <c r="A20" t="s">
        <v>228</v>
      </c>
      <c r="B20" t="s">
        <v>91</v>
      </c>
      <c r="C20" t="s">
        <v>12</v>
      </c>
      <c r="D20" t="s">
        <v>13</v>
      </c>
      <c r="E20" s="1" t="s">
        <v>273</v>
      </c>
      <c r="F20" t="s">
        <v>40</v>
      </c>
      <c r="G20" s="3"/>
      <c r="H20" s="3"/>
      <c r="I20" s="3">
        <f>2</f>
        <v>2</v>
      </c>
      <c r="J20"/>
      <c r="K20" t="s">
        <v>15</v>
      </c>
      <c r="M20"/>
    </row>
    <row r="21" spans="1:13" hidden="1">
      <c r="A21" t="s">
        <v>228</v>
      </c>
      <c r="B21" t="s">
        <v>141</v>
      </c>
      <c r="C21" t="s">
        <v>12</v>
      </c>
      <c r="D21" t="s">
        <v>13</v>
      </c>
      <c r="E21" s="1" t="s">
        <v>273</v>
      </c>
      <c r="F21" t="s">
        <v>40</v>
      </c>
      <c r="G21" s="3"/>
      <c r="H21" s="3"/>
      <c r="I21" s="3">
        <f>2</f>
        <v>2</v>
      </c>
      <c r="J21"/>
      <c r="K21" t="s">
        <v>15</v>
      </c>
      <c r="M21"/>
    </row>
    <row r="22" spans="1:13" hidden="1">
      <c r="A22" t="s">
        <v>228</v>
      </c>
      <c r="B22" t="s">
        <v>94</v>
      </c>
      <c r="C22" t="s">
        <v>12</v>
      </c>
      <c r="D22" t="s">
        <v>13</v>
      </c>
      <c r="E22" s="1" t="s">
        <v>273</v>
      </c>
      <c r="F22" t="s">
        <v>14</v>
      </c>
      <c r="G22" s="3"/>
      <c r="H22" s="3"/>
      <c r="I22" s="3">
        <f>2</f>
        <v>2</v>
      </c>
      <c r="J22"/>
      <c r="K22" t="s">
        <v>15</v>
      </c>
      <c r="M22"/>
    </row>
    <row r="23" spans="1:13" hidden="1">
      <c r="A23" t="s">
        <v>228</v>
      </c>
      <c r="B23" t="s">
        <v>127</v>
      </c>
      <c r="C23" t="s">
        <v>12</v>
      </c>
      <c r="D23" t="s">
        <v>13</v>
      </c>
      <c r="E23" s="1" t="s">
        <v>273</v>
      </c>
      <c r="F23" t="s">
        <v>14</v>
      </c>
      <c r="G23" s="3"/>
      <c r="H23" s="3"/>
      <c r="I23" s="3">
        <f>2</f>
        <v>2</v>
      </c>
      <c r="J23"/>
      <c r="K23" t="s">
        <v>15</v>
      </c>
      <c r="M23"/>
    </row>
    <row r="24" spans="1:13" hidden="1">
      <c r="A24" t="s">
        <v>228</v>
      </c>
      <c r="B24" t="s">
        <v>148</v>
      </c>
      <c r="C24" t="s">
        <v>12</v>
      </c>
      <c r="D24" t="s">
        <v>13</v>
      </c>
      <c r="E24" s="1" t="s">
        <v>273</v>
      </c>
      <c r="F24" t="s">
        <v>14</v>
      </c>
      <c r="G24" s="3"/>
      <c r="H24" s="3"/>
      <c r="I24" s="3">
        <f>2</f>
        <v>2</v>
      </c>
      <c r="J24"/>
      <c r="K24" t="s">
        <v>15</v>
      </c>
      <c r="M24"/>
    </row>
    <row r="25" spans="1:13" hidden="1">
      <c r="A25" t="s">
        <v>228</v>
      </c>
      <c r="B25" t="s">
        <v>149</v>
      </c>
      <c r="C25" t="s">
        <v>12</v>
      </c>
      <c r="D25" t="s">
        <v>13</v>
      </c>
      <c r="E25" s="1" t="s">
        <v>273</v>
      </c>
      <c r="F25" t="s">
        <v>14</v>
      </c>
      <c r="G25" s="3"/>
      <c r="H25" s="3"/>
      <c r="I25" s="3">
        <f>2</f>
        <v>2</v>
      </c>
      <c r="J25"/>
      <c r="K25" t="s">
        <v>15</v>
      </c>
      <c r="M25"/>
    </row>
    <row r="26" spans="1:13" hidden="1">
      <c r="A26" t="s">
        <v>228</v>
      </c>
      <c r="B26" t="s">
        <v>74</v>
      </c>
      <c r="C26" t="s">
        <v>12</v>
      </c>
      <c r="D26" t="s">
        <v>13</v>
      </c>
      <c r="E26" s="1" t="s">
        <v>273</v>
      </c>
      <c r="F26" t="s">
        <v>14</v>
      </c>
      <c r="G26" s="3"/>
      <c r="H26" s="3"/>
      <c r="I26" s="3">
        <f>2</f>
        <v>2</v>
      </c>
      <c r="J26"/>
      <c r="K26" t="s">
        <v>15</v>
      </c>
      <c r="M26"/>
    </row>
    <row r="27" spans="1:13" hidden="1">
      <c r="A27" t="s">
        <v>228</v>
      </c>
      <c r="B27" t="s">
        <v>73</v>
      </c>
      <c r="C27" t="s">
        <v>12</v>
      </c>
      <c r="D27" t="s">
        <v>13</v>
      </c>
      <c r="E27" s="1" t="s">
        <v>273</v>
      </c>
      <c r="F27" t="s">
        <v>14</v>
      </c>
      <c r="G27" s="3"/>
      <c r="H27" s="3"/>
      <c r="I27" s="3">
        <f>2</f>
        <v>2</v>
      </c>
      <c r="J27"/>
      <c r="K27" t="s">
        <v>15</v>
      </c>
      <c r="M27"/>
    </row>
    <row r="28" spans="1:13" hidden="1">
      <c r="A28" t="s">
        <v>228</v>
      </c>
      <c r="B28" t="s">
        <v>99</v>
      </c>
      <c r="C28" t="s">
        <v>12</v>
      </c>
      <c r="D28" t="s">
        <v>13</v>
      </c>
      <c r="E28" s="1" t="s">
        <v>273</v>
      </c>
      <c r="F28" t="s">
        <v>14</v>
      </c>
      <c r="G28" s="3"/>
      <c r="H28" s="3"/>
      <c r="I28" s="3">
        <f>2</f>
        <v>2</v>
      </c>
      <c r="J28"/>
      <c r="K28" t="s">
        <v>15</v>
      </c>
      <c r="M28"/>
    </row>
    <row r="29" spans="1:13" hidden="1">
      <c r="A29" t="s">
        <v>228</v>
      </c>
      <c r="B29" t="s">
        <v>52</v>
      </c>
      <c r="C29" t="s">
        <v>12</v>
      </c>
      <c r="D29" t="s">
        <v>13</v>
      </c>
      <c r="E29" s="1" t="s">
        <v>273</v>
      </c>
      <c r="F29" t="s">
        <v>14</v>
      </c>
      <c r="G29" s="3"/>
      <c r="H29" s="3"/>
      <c r="I29" s="3">
        <f>2</f>
        <v>2</v>
      </c>
      <c r="J29"/>
      <c r="K29" t="s">
        <v>26</v>
      </c>
      <c r="M29"/>
    </row>
    <row r="30" spans="1:13" hidden="1">
      <c r="A30" t="s">
        <v>228</v>
      </c>
      <c r="B30" t="s">
        <v>109</v>
      </c>
      <c r="C30" t="s">
        <v>12</v>
      </c>
      <c r="D30" t="s">
        <v>13</v>
      </c>
      <c r="E30" s="1" t="s">
        <v>273</v>
      </c>
      <c r="F30" t="s">
        <v>14</v>
      </c>
      <c r="G30" s="3"/>
      <c r="H30" s="3"/>
      <c r="I30" s="3">
        <f>2</f>
        <v>2</v>
      </c>
      <c r="J30"/>
      <c r="K30" t="s">
        <v>15</v>
      </c>
      <c r="M30"/>
    </row>
    <row r="31" spans="1:13" hidden="1">
      <c r="A31" t="s">
        <v>228</v>
      </c>
      <c r="B31" t="s">
        <v>66</v>
      </c>
      <c r="C31" t="s">
        <v>12</v>
      </c>
      <c r="D31" t="s">
        <v>13</v>
      </c>
      <c r="E31" s="1" t="s">
        <v>273</v>
      </c>
      <c r="F31" t="s">
        <v>14</v>
      </c>
      <c r="G31" s="3"/>
      <c r="H31" s="3"/>
      <c r="I31" s="3">
        <f>2</f>
        <v>2</v>
      </c>
      <c r="J31"/>
      <c r="K31" t="s">
        <v>15</v>
      </c>
      <c r="M31"/>
    </row>
    <row r="32" spans="1:13" hidden="1">
      <c r="A32" t="s">
        <v>228</v>
      </c>
      <c r="B32" t="s">
        <v>143</v>
      </c>
      <c r="C32" t="s">
        <v>12</v>
      </c>
      <c r="D32" t="s">
        <v>13</v>
      </c>
      <c r="E32" s="1" t="s">
        <v>273</v>
      </c>
      <c r="F32" t="s">
        <v>14</v>
      </c>
      <c r="I32" s="2">
        <f>2</f>
        <v>2</v>
      </c>
      <c r="K32" s="1" t="s">
        <v>245</v>
      </c>
    </row>
    <row r="33" spans="1:13" hidden="1">
      <c r="A33" t="s">
        <v>228</v>
      </c>
      <c r="B33" t="s">
        <v>103</v>
      </c>
      <c r="C33" t="s">
        <v>12</v>
      </c>
      <c r="D33" t="s">
        <v>13</v>
      </c>
      <c r="E33" s="1" t="s">
        <v>273</v>
      </c>
      <c r="F33" t="s">
        <v>14</v>
      </c>
      <c r="G33" s="3"/>
      <c r="H33" s="3"/>
      <c r="I33" s="3">
        <f>2</f>
        <v>2</v>
      </c>
      <c r="J33"/>
      <c r="K33" t="s">
        <v>15</v>
      </c>
      <c r="M33"/>
    </row>
    <row r="34" spans="1:13" hidden="1">
      <c r="A34" t="s">
        <v>228</v>
      </c>
      <c r="B34" t="s">
        <v>72</v>
      </c>
      <c r="C34" t="s">
        <v>12</v>
      </c>
      <c r="D34" t="s">
        <v>13</v>
      </c>
      <c r="E34" s="1" t="s">
        <v>273</v>
      </c>
      <c r="F34" t="s">
        <v>14</v>
      </c>
      <c r="G34" s="3"/>
      <c r="H34" s="3"/>
      <c r="I34" s="3">
        <f>2</f>
        <v>2</v>
      </c>
      <c r="J34"/>
      <c r="K34" t="s">
        <v>15</v>
      </c>
      <c r="M34"/>
    </row>
    <row r="35" spans="1:13" hidden="1">
      <c r="A35" t="s">
        <v>228</v>
      </c>
      <c r="B35" t="s">
        <v>58</v>
      </c>
      <c r="C35" t="s">
        <v>12</v>
      </c>
      <c r="D35" t="s">
        <v>13</v>
      </c>
      <c r="E35" s="1" t="s">
        <v>273</v>
      </c>
      <c r="F35" t="s">
        <v>14</v>
      </c>
      <c r="G35" s="3"/>
      <c r="H35" s="3"/>
      <c r="I35" s="3">
        <f>2</f>
        <v>2</v>
      </c>
      <c r="J35"/>
      <c r="K35" t="s">
        <v>15</v>
      </c>
      <c r="M35"/>
    </row>
    <row r="36" spans="1:13" hidden="1">
      <c r="A36" t="s">
        <v>228</v>
      </c>
      <c r="B36" t="s">
        <v>84</v>
      </c>
      <c r="C36" t="s">
        <v>12</v>
      </c>
      <c r="D36" t="s">
        <v>13</v>
      </c>
      <c r="E36" s="1" t="s">
        <v>273</v>
      </c>
      <c r="F36" t="s">
        <v>40</v>
      </c>
      <c r="G36" s="3"/>
      <c r="H36" s="3"/>
      <c r="I36" s="3">
        <f>2</f>
        <v>2</v>
      </c>
      <c r="J36"/>
      <c r="K36" t="s">
        <v>15</v>
      </c>
      <c r="M36"/>
    </row>
    <row r="37" spans="1:13" hidden="1">
      <c r="A37" t="s">
        <v>228</v>
      </c>
      <c r="B37" t="s">
        <v>59</v>
      </c>
      <c r="C37" t="s">
        <v>12</v>
      </c>
      <c r="D37" t="s">
        <v>13</v>
      </c>
      <c r="E37" s="1" t="s">
        <v>273</v>
      </c>
      <c r="F37" t="s">
        <v>14</v>
      </c>
      <c r="G37" s="3"/>
      <c r="H37" s="3"/>
      <c r="I37" s="3">
        <f>2</f>
        <v>2</v>
      </c>
      <c r="J37"/>
      <c r="K37" t="s">
        <v>15</v>
      </c>
      <c r="M37"/>
    </row>
    <row r="38" spans="1:13" hidden="1">
      <c r="A38" t="s">
        <v>228</v>
      </c>
      <c r="B38" t="s">
        <v>85</v>
      </c>
      <c r="C38" t="s">
        <v>12</v>
      </c>
      <c r="D38" t="s">
        <v>13</v>
      </c>
      <c r="E38" s="1" t="s">
        <v>273</v>
      </c>
      <c r="F38" t="s">
        <v>14</v>
      </c>
      <c r="G38" s="3"/>
      <c r="H38" s="3"/>
      <c r="I38" s="3">
        <f>2</f>
        <v>2</v>
      </c>
      <c r="J38"/>
      <c r="K38" t="s">
        <v>15</v>
      </c>
      <c r="M38"/>
    </row>
    <row r="39" spans="1:13" hidden="1">
      <c r="A39" t="s">
        <v>228</v>
      </c>
      <c r="B39" t="s">
        <v>41</v>
      </c>
      <c r="C39" t="s">
        <v>12</v>
      </c>
      <c r="D39" t="s">
        <v>13</v>
      </c>
      <c r="E39" s="1" t="s">
        <v>273</v>
      </c>
      <c r="F39" t="s">
        <v>14</v>
      </c>
      <c r="G39" s="3"/>
      <c r="H39" s="3"/>
      <c r="I39" s="3">
        <f>2</f>
        <v>2</v>
      </c>
      <c r="J39"/>
      <c r="K39" t="s">
        <v>15</v>
      </c>
      <c r="M39"/>
    </row>
    <row r="40" spans="1:13" hidden="1">
      <c r="A40" t="s">
        <v>228</v>
      </c>
      <c r="B40" t="s">
        <v>78</v>
      </c>
      <c r="C40" t="s">
        <v>12</v>
      </c>
      <c r="D40" t="s">
        <v>13</v>
      </c>
      <c r="E40" s="1" t="s">
        <v>273</v>
      </c>
      <c r="F40" t="s">
        <v>14</v>
      </c>
      <c r="G40" s="3"/>
      <c r="H40" s="3"/>
      <c r="I40" s="3">
        <f>2</f>
        <v>2</v>
      </c>
      <c r="J40"/>
      <c r="K40" t="s">
        <v>15</v>
      </c>
      <c r="M40"/>
    </row>
    <row r="41" spans="1:13" hidden="1">
      <c r="A41" t="s">
        <v>228</v>
      </c>
      <c r="B41" t="s">
        <v>97</v>
      </c>
      <c r="C41" t="s">
        <v>12</v>
      </c>
      <c r="D41" t="s">
        <v>13</v>
      </c>
      <c r="E41" s="1" t="s">
        <v>273</v>
      </c>
      <c r="F41" t="s">
        <v>14</v>
      </c>
      <c r="G41" s="3"/>
      <c r="H41" s="3"/>
      <c r="I41" s="3">
        <f>2</f>
        <v>2</v>
      </c>
      <c r="J41"/>
      <c r="K41" t="s">
        <v>15</v>
      </c>
      <c r="M41"/>
    </row>
    <row r="42" spans="1:13" hidden="1">
      <c r="A42" t="s">
        <v>228</v>
      </c>
      <c r="B42" t="s">
        <v>115</v>
      </c>
      <c r="C42" t="s">
        <v>12</v>
      </c>
      <c r="D42" t="s">
        <v>13</v>
      </c>
      <c r="E42" s="1" t="s">
        <v>273</v>
      </c>
      <c r="F42" t="s">
        <v>14</v>
      </c>
      <c r="G42" s="3"/>
      <c r="H42" s="3"/>
      <c r="I42" s="3">
        <f>2</f>
        <v>2</v>
      </c>
      <c r="J42"/>
      <c r="K42" t="s">
        <v>15</v>
      </c>
      <c r="M42"/>
    </row>
    <row r="43" spans="1:13" hidden="1">
      <c r="A43" t="s">
        <v>228</v>
      </c>
      <c r="B43" t="s">
        <v>53</v>
      </c>
      <c r="C43" t="s">
        <v>12</v>
      </c>
      <c r="D43" t="s">
        <v>13</v>
      </c>
      <c r="E43" s="1" t="s">
        <v>273</v>
      </c>
      <c r="F43" t="s">
        <v>14</v>
      </c>
      <c r="G43" s="3"/>
      <c r="H43" s="3"/>
      <c r="I43" s="3">
        <f>2</f>
        <v>2</v>
      </c>
      <c r="J43"/>
      <c r="K43" t="s">
        <v>15</v>
      </c>
      <c r="M43"/>
    </row>
    <row r="44" spans="1:13" hidden="1">
      <c r="A44" t="s">
        <v>228</v>
      </c>
      <c r="B44" t="s">
        <v>142</v>
      </c>
      <c r="C44" t="s">
        <v>12</v>
      </c>
      <c r="D44" t="s">
        <v>13</v>
      </c>
      <c r="E44" s="1" t="s">
        <v>273</v>
      </c>
      <c r="F44" t="s">
        <v>14</v>
      </c>
      <c r="G44" s="3"/>
      <c r="H44" s="3"/>
      <c r="I44" s="3">
        <f>2</f>
        <v>2</v>
      </c>
      <c r="J44"/>
      <c r="K44" t="s">
        <v>15</v>
      </c>
      <c r="M44"/>
    </row>
    <row r="45" spans="1:13" hidden="1">
      <c r="A45" t="s">
        <v>228</v>
      </c>
      <c r="B45" t="s">
        <v>68</v>
      </c>
      <c r="C45" t="s">
        <v>12</v>
      </c>
      <c r="D45" t="s">
        <v>13</v>
      </c>
      <c r="E45" s="1" t="s">
        <v>273</v>
      </c>
      <c r="F45" t="s">
        <v>14</v>
      </c>
      <c r="G45" s="3"/>
      <c r="H45" s="3"/>
      <c r="I45" s="3">
        <f>2</f>
        <v>2</v>
      </c>
      <c r="J45"/>
      <c r="K45" t="s">
        <v>15</v>
      </c>
      <c r="M45"/>
    </row>
    <row r="46" spans="1:13" hidden="1">
      <c r="A46" t="s">
        <v>228</v>
      </c>
      <c r="B46" t="s">
        <v>89</v>
      </c>
      <c r="C46" t="s">
        <v>12</v>
      </c>
      <c r="D46" t="s">
        <v>13</v>
      </c>
      <c r="E46" s="1" t="s">
        <v>273</v>
      </c>
      <c r="F46" t="s">
        <v>14</v>
      </c>
      <c r="G46" s="3"/>
      <c r="H46" s="3"/>
      <c r="I46" s="3">
        <f>2</f>
        <v>2</v>
      </c>
      <c r="J46"/>
      <c r="K46" t="s">
        <v>15</v>
      </c>
      <c r="M46"/>
    </row>
    <row r="47" spans="1:13" hidden="1">
      <c r="A47" t="s">
        <v>228</v>
      </c>
      <c r="B47" t="s">
        <v>119</v>
      </c>
      <c r="C47" t="s">
        <v>12</v>
      </c>
      <c r="D47" t="s">
        <v>13</v>
      </c>
      <c r="E47" s="1" t="s">
        <v>273</v>
      </c>
      <c r="F47" t="s">
        <v>14</v>
      </c>
      <c r="G47" s="3"/>
      <c r="H47" s="3"/>
      <c r="I47" s="3">
        <f>2</f>
        <v>2</v>
      </c>
      <c r="J47"/>
      <c r="K47" t="s">
        <v>15</v>
      </c>
      <c r="M47"/>
    </row>
    <row r="48" spans="1:13" hidden="1">
      <c r="A48" t="s">
        <v>228</v>
      </c>
      <c r="B48" t="s">
        <v>83</v>
      </c>
      <c r="C48" t="s">
        <v>12</v>
      </c>
      <c r="D48" t="s">
        <v>13</v>
      </c>
      <c r="E48" s="1" t="s">
        <v>273</v>
      </c>
      <c r="F48" t="s">
        <v>14</v>
      </c>
      <c r="G48" s="3"/>
      <c r="H48" s="3"/>
      <c r="I48" s="3">
        <f>2</f>
        <v>2</v>
      </c>
      <c r="J48"/>
      <c r="K48" t="s">
        <v>15</v>
      </c>
      <c r="M48"/>
    </row>
    <row r="49" spans="1:13" hidden="1">
      <c r="A49" t="s">
        <v>228</v>
      </c>
      <c r="B49" t="s">
        <v>77</v>
      </c>
      <c r="C49" t="s">
        <v>12</v>
      </c>
      <c r="D49" t="s">
        <v>13</v>
      </c>
      <c r="E49" s="1" t="s">
        <v>273</v>
      </c>
      <c r="F49" t="s">
        <v>14</v>
      </c>
      <c r="I49" s="2">
        <f>2</f>
        <v>2</v>
      </c>
      <c r="K49" s="1" t="s">
        <v>245</v>
      </c>
    </row>
    <row r="50" spans="1:13" hidden="1">
      <c r="A50" t="s">
        <v>228</v>
      </c>
      <c r="B50" t="s">
        <v>38</v>
      </c>
      <c r="C50" t="s">
        <v>12</v>
      </c>
      <c r="D50" t="s">
        <v>13</v>
      </c>
      <c r="E50" s="1" t="s">
        <v>273</v>
      </c>
      <c r="F50" t="s">
        <v>14</v>
      </c>
      <c r="G50" s="3"/>
      <c r="H50" s="3"/>
      <c r="I50" s="3">
        <f>2</f>
        <v>2</v>
      </c>
      <c r="J50"/>
      <c r="K50" t="s">
        <v>15</v>
      </c>
      <c r="M50"/>
    </row>
    <row r="51" spans="1:13" hidden="1">
      <c r="A51" t="s">
        <v>228</v>
      </c>
      <c r="B51" t="s">
        <v>82</v>
      </c>
      <c r="C51" t="s">
        <v>12</v>
      </c>
      <c r="D51" t="s">
        <v>13</v>
      </c>
      <c r="E51" s="1" t="s">
        <v>273</v>
      </c>
      <c r="F51" t="s">
        <v>14</v>
      </c>
      <c r="G51" s="3"/>
      <c r="H51" s="3"/>
      <c r="I51" s="3">
        <f>2</f>
        <v>2</v>
      </c>
      <c r="J51"/>
      <c r="K51" t="s">
        <v>15</v>
      </c>
      <c r="M51"/>
    </row>
    <row r="52" spans="1:13" hidden="1">
      <c r="A52" t="s">
        <v>228</v>
      </c>
      <c r="B52" t="s">
        <v>98</v>
      </c>
      <c r="C52" t="s">
        <v>12</v>
      </c>
      <c r="D52" t="s">
        <v>13</v>
      </c>
      <c r="E52" s="1" t="s">
        <v>273</v>
      </c>
      <c r="F52" t="s">
        <v>14</v>
      </c>
      <c r="G52" s="3"/>
      <c r="H52" s="3"/>
      <c r="I52" s="3">
        <f>2</f>
        <v>2</v>
      </c>
      <c r="J52"/>
      <c r="K52" t="s">
        <v>15</v>
      </c>
      <c r="M52"/>
    </row>
    <row r="53" spans="1:13" hidden="1">
      <c r="A53" t="s">
        <v>228</v>
      </c>
      <c r="B53" t="s">
        <v>136</v>
      </c>
      <c r="C53" t="s">
        <v>12</v>
      </c>
      <c r="D53" t="s">
        <v>13</v>
      </c>
      <c r="E53" s="1" t="s">
        <v>273</v>
      </c>
      <c r="F53" t="s">
        <v>14</v>
      </c>
      <c r="G53" s="3"/>
      <c r="H53" s="3"/>
      <c r="I53" s="3">
        <f>2</f>
        <v>2</v>
      </c>
      <c r="J53"/>
      <c r="K53" t="s">
        <v>15</v>
      </c>
      <c r="M53"/>
    </row>
    <row r="54" spans="1:13" hidden="1">
      <c r="A54" t="s">
        <v>228</v>
      </c>
      <c r="B54" t="s">
        <v>67</v>
      </c>
      <c r="C54" t="s">
        <v>12</v>
      </c>
      <c r="D54" t="s">
        <v>13</v>
      </c>
      <c r="E54" s="1" t="s">
        <v>273</v>
      </c>
      <c r="F54" t="s">
        <v>14</v>
      </c>
      <c r="G54" s="3"/>
      <c r="H54" s="3"/>
      <c r="I54" s="3">
        <f>2</f>
        <v>2</v>
      </c>
      <c r="J54"/>
      <c r="K54" t="s">
        <v>15</v>
      </c>
      <c r="M54"/>
    </row>
    <row r="55" spans="1:13" hidden="1">
      <c r="A55" t="s">
        <v>228</v>
      </c>
      <c r="B55" t="s">
        <v>19</v>
      </c>
      <c r="C55" t="s">
        <v>12</v>
      </c>
      <c r="D55" t="s">
        <v>13</v>
      </c>
      <c r="E55" s="1" t="s">
        <v>273</v>
      </c>
      <c r="F55" t="s">
        <v>14</v>
      </c>
      <c r="G55" s="3"/>
      <c r="H55" s="3"/>
      <c r="I55" s="3">
        <f>2</f>
        <v>2</v>
      </c>
      <c r="J55"/>
      <c r="K55" t="s">
        <v>15</v>
      </c>
      <c r="M55"/>
    </row>
    <row r="56" spans="1:13" hidden="1">
      <c r="A56" t="s">
        <v>228</v>
      </c>
      <c r="B56" t="s">
        <v>93</v>
      </c>
      <c r="C56" t="s">
        <v>12</v>
      </c>
      <c r="D56" t="s">
        <v>13</v>
      </c>
      <c r="E56" s="1" t="s">
        <v>273</v>
      </c>
      <c r="F56" t="s">
        <v>14</v>
      </c>
      <c r="G56" s="3"/>
      <c r="H56" s="3"/>
      <c r="I56" s="3">
        <f>2</f>
        <v>2</v>
      </c>
      <c r="J56"/>
      <c r="K56" t="s">
        <v>15</v>
      </c>
      <c r="M56"/>
    </row>
    <row r="57" spans="1:13" hidden="1">
      <c r="A57" t="s">
        <v>228</v>
      </c>
      <c r="B57" t="s">
        <v>102</v>
      </c>
      <c r="C57" t="s">
        <v>28</v>
      </c>
      <c r="D57"/>
      <c r="E57"/>
      <c r="F57" t="s">
        <v>18</v>
      </c>
      <c r="G57"/>
      <c r="H57"/>
      <c r="I57" s="3">
        <f>2</f>
        <v>2</v>
      </c>
      <c r="J57"/>
      <c r="K57"/>
      <c r="M57"/>
    </row>
    <row r="58" spans="1:13" hidden="1">
      <c r="A58" t="s">
        <v>228</v>
      </c>
      <c r="B58" t="s">
        <v>60</v>
      </c>
      <c r="C58" t="s">
        <v>12</v>
      </c>
      <c r="D58" t="s">
        <v>13</v>
      </c>
      <c r="E58" s="1" t="s">
        <v>273</v>
      </c>
      <c r="F58" t="s">
        <v>14</v>
      </c>
      <c r="G58" s="3"/>
      <c r="H58" s="3"/>
      <c r="I58" s="3">
        <f>2</f>
        <v>2</v>
      </c>
      <c r="J58"/>
      <c r="K58" t="s">
        <v>15</v>
      </c>
      <c r="M58"/>
    </row>
    <row r="59" spans="1:13" hidden="1">
      <c r="A59" t="s">
        <v>228</v>
      </c>
      <c r="B59" t="s">
        <v>61</v>
      </c>
      <c r="C59" t="s">
        <v>12</v>
      </c>
      <c r="D59" t="s">
        <v>13</v>
      </c>
      <c r="E59" s="1" t="s">
        <v>273</v>
      </c>
      <c r="F59" t="s">
        <v>14</v>
      </c>
      <c r="G59" s="3"/>
      <c r="H59" s="3"/>
      <c r="I59" s="3">
        <f>2</f>
        <v>2</v>
      </c>
      <c r="J59"/>
      <c r="K59" t="s">
        <v>15</v>
      </c>
      <c r="M59"/>
    </row>
    <row r="60" spans="1:13" hidden="1">
      <c r="A60" t="s">
        <v>228</v>
      </c>
      <c r="B60" t="s">
        <v>55</v>
      </c>
      <c r="C60" t="s">
        <v>12</v>
      </c>
      <c r="D60" t="s">
        <v>13</v>
      </c>
      <c r="E60" s="1" t="s">
        <v>273</v>
      </c>
      <c r="F60" t="s">
        <v>14</v>
      </c>
      <c r="G60" s="3"/>
      <c r="H60" s="3"/>
      <c r="I60" s="3">
        <f>2</f>
        <v>2</v>
      </c>
      <c r="J60"/>
      <c r="K60" t="s">
        <v>15</v>
      </c>
      <c r="M60"/>
    </row>
    <row r="61" spans="1:13" hidden="1">
      <c r="A61" t="s">
        <v>228</v>
      </c>
      <c r="B61" t="s">
        <v>62</v>
      </c>
      <c r="C61" t="s">
        <v>12</v>
      </c>
      <c r="D61" t="s">
        <v>13</v>
      </c>
      <c r="E61" s="1" t="s">
        <v>273</v>
      </c>
      <c r="F61" t="s">
        <v>14</v>
      </c>
      <c r="I61" s="2">
        <f>2</f>
        <v>2</v>
      </c>
      <c r="K61" s="1" t="s">
        <v>245</v>
      </c>
    </row>
    <row r="62" spans="1:13" hidden="1">
      <c r="A62" t="s">
        <v>228</v>
      </c>
      <c r="B62" t="s">
        <v>79</v>
      </c>
      <c r="C62" t="s">
        <v>12</v>
      </c>
      <c r="D62" t="s">
        <v>13</v>
      </c>
      <c r="E62" s="1" t="s">
        <v>273</v>
      </c>
      <c r="F62" t="s">
        <v>14</v>
      </c>
      <c r="I62" s="2">
        <f>2</f>
        <v>2</v>
      </c>
      <c r="K62" s="1" t="s">
        <v>245</v>
      </c>
    </row>
    <row r="63" spans="1:13" hidden="1">
      <c r="A63" t="s">
        <v>228</v>
      </c>
      <c r="B63" t="s">
        <v>65</v>
      </c>
      <c r="C63" t="s">
        <v>12</v>
      </c>
      <c r="D63" t="s">
        <v>13</v>
      </c>
      <c r="E63" s="1" t="s">
        <v>273</v>
      </c>
      <c r="F63" t="s">
        <v>14</v>
      </c>
      <c r="G63" s="3"/>
      <c r="H63" s="3"/>
      <c r="I63" s="3">
        <f>2</f>
        <v>2</v>
      </c>
      <c r="J63"/>
      <c r="K63" t="s">
        <v>15</v>
      </c>
      <c r="M63"/>
    </row>
    <row r="64" spans="1:13" hidden="1">
      <c r="A64" t="s">
        <v>228</v>
      </c>
      <c r="B64" t="s">
        <v>23</v>
      </c>
      <c r="C64" t="s">
        <v>12</v>
      </c>
      <c r="D64" t="s">
        <v>13</v>
      </c>
      <c r="E64" s="1" t="s">
        <v>273</v>
      </c>
      <c r="F64" t="s">
        <v>14</v>
      </c>
      <c r="G64" s="3"/>
      <c r="H64" s="3"/>
      <c r="I64" s="3">
        <f>2</f>
        <v>2</v>
      </c>
      <c r="J64"/>
      <c r="K64" t="s">
        <v>15</v>
      </c>
      <c r="M64"/>
    </row>
    <row r="65" spans="1:14" hidden="1">
      <c r="A65" t="s">
        <v>228</v>
      </c>
      <c r="B65" t="s">
        <v>86</v>
      </c>
      <c r="C65" t="s">
        <v>12</v>
      </c>
      <c r="D65" t="s">
        <v>13</v>
      </c>
      <c r="E65" s="1" t="s">
        <v>273</v>
      </c>
      <c r="F65" t="s">
        <v>14</v>
      </c>
      <c r="G65" s="3"/>
      <c r="H65" s="3"/>
      <c r="I65" s="3">
        <f>2</f>
        <v>2</v>
      </c>
      <c r="J65"/>
      <c r="K65" t="s">
        <v>26</v>
      </c>
      <c r="M65"/>
    </row>
    <row r="66" spans="1:14" hidden="1">
      <c r="A66" t="s">
        <v>228</v>
      </c>
      <c r="B66" t="s">
        <v>11</v>
      </c>
      <c r="C66" t="s">
        <v>12</v>
      </c>
      <c r="D66" t="s">
        <v>13</v>
      </c>
      <c r="E66" s="1" t="s">
        <v>273</v>
      </c>
      <c r="F66" t="s">
        <v>14</v>
      </c>
      <c r="G66" s="3"/>
      <c r="H66" s="3"/>
      <c r="I66" s="3">
        <f>2</f>
        <v>2</v>
      </c>
      <c r="J66"/>
      <c r="K66" t="s">
        <v>15</v>
      </c>
      <c r="M66"/>
    </row>
    <row r="67" spans="1:14" hidden="1">
      <c r="A67" t="s">
        <v>228</v>
      </c>
      <c r="B67" t="s">
        <v>88</v>
      </c>
      <c r="C67" t="s">
        <v>12</v>
      </c>
      <c r="D67" t="s">
        <v>13</v>
      </c>
      <c r="E67" s="1" t="s">
        <v>273</v>
      </c>
      <c r="F67" t="s">
        <v>14</v>
      </c>
      <c r="G67" s="3"/>
      <c r="H67" s="3"/>
      <c r="I67" s="3">
        <f>2</f>
        <v>2</v>
      </c>
      <c r="J67"/>
      <c r="K67" t="s">
        <v>15</v>
      </c>
      <c r="M67"/>
    </row>
    <row r="68" spans="1:14" hidden="1">
      <c r="A68" t="s">
        <v>228</v>
      </c>
      <c r="B68" t="s">
        <v>50</v>
      </c>
      <c r="C68" t="s">
        <v>12</v>
      </c>
      <c r="D68" t="s">
        <v>13</v>
      </c>
      <c r="E68" s="1" t="s">
        <v>273</v>
      </c>
      <c r="F68" t="s">
        <v>14</v>
      </c>
      <c r="G68" s="3"/>
      <c r="H68" s="3"/>
      <c r="I68" s="3">
        <f>2</f>
        <v>2</v>
      </c>
      <c r="J68"/>
      <c r="K68" t="s">
        <v>15</v>
      </c>
      <c r="M68"/>
    </row>
    <row r="69" spans="1:14" hidden="1">
      <c r="A69" t="s">
        <v>228</v>
      </c>
      <c r="B69" t="s">
        <v>87</v>
      </c>
      <c r="C69" t="s">
        <v>12</v>
      </c>
      <c r="D69" t="s">
        <v>13</v>
      </c>
      <c r="E69" s="1" t="s">
        <v>273</v>
      </c>
      <c r="F69" t="s">
        <v>14</v>
      </c>
      <c r="G69" s="3"/>
      <c r="H69" s="3"/>
      <c r="I69" s="3">
        <f>2</f>
        <v>2</v>
      </c>
      <c r="J69"/>
      <c r="K69" t="s">
        <v>15</v>
      </c>
      <c r="M69"/>
    </row>
    <row r="70" spans="1:14" hidden="1">
      <c r="A70" t="s">
        <v>228</v>
      </c>
      <c r="B70" t="s">
        <v>54</v>
      </c>
      <c r="C70" t="s">
        <v>12</v>
      </c>
      <c r="D70" t="s">
        <v>13</v>
      </c>
      <c r="E70" s="1" t="s">
        <v>273</v>
      </c>
      <c r="F70" t="s">
        <v>14</v>
      </c>
      <c r="G70" s="3"/>
      <c r="H70" s="3"/>
      <c r="I70" s="3">
        <f>2</f>
        <v>2</v>
      </c>
      <c r="J70"/>
      <c r="K70" t="s">
        <v>15</v>
      </c>
      <c r="M70"/>
    </row>
    <row r="71" spans="1:14" hidden="1">
      <c r="A71" t="s">
        <v>228</v>
      </c>
      <c r="B71" t="s">
        <v>49</v>
      </c>
      <c r="C71" t="s">
        <v>12</v>
      </c>
      <c r="D71" t="s">
        <v>13</v>
      </c>
      <c r="E71" s="1" t="s">
        <v>273</v>
      </c>
      <c r="F71" t="s">
        <v>14</v>
      </c>
      <c r="G71" s="3"/>
      <c r="H71" s="3"/>
      <c r="I71" s="3">
        <f>2</f>
        <v>2</v>
      </c>
      <c r="J71"/>
      <c r="K71" t="s">
        <v>15</v>
      </c>
      <c r="M71"/>
    </row>
    <row r="72" spans="1:14" hidden="1">
      <c r="A72" t="s">
        <v>228</v>
      </c>
      <c r="B72" t="s">
        <v>24</v>
      </c>
      <c r="C72" t="s">
        <v>12</v>
      </c>
      <c r="D72" t="s">
        <v>13</v>
      </c>
      <c r="E72" s="1" t="s">
        <v>273</v>
      </c>
      <c r="F72" t="s">
        <v>14</v>
      </c>
      <c r="G72" s="3"/>
      <c r="H72" s="3"/>
      <c r="I72" s="3">
        <f>2</f>
        <v>2</v>
      </c>
      <c r="J72"/>
      <c r="K72" t="s">
        <v>15</v>
      </c>
      <c r="M72"/>
    </row>
    <row r="73" spans="1:14" hidden="1">
      <c r="A73" t="s">
        <v>228</v>
      </c>
      <c r="B73" t="s">
        <v>25</v>
      </c>
      <c r="C73" t="s">
        <v>12</v>
      </c>
      <c r="D73" t="s">
        <v>13</v>
      </c>
      <c r="E73" s="1" t="s">
        <v>273</v>
      </c>
      <c r="F73" t="s">
        <v>14</v>
      </c>
      <c r="G73" s="3"/>
      <c r="H73" s="3"/>
      <c r="I73" s="3">
        <f>2</f>
        <v>2</v>
      </c>
      <c r="J73"/>
      <c r="K73" t="s">
        <v>26</v>
      </c>
      <c r="M73"/>
    </row>
    <row r="74" spans="1:14" hidden="1">
      <c r="A74" t="s">
        <v>228</v>
      </c>
      <c r="B74" t="s">
        <v>110</v>
      </c>
      <c r="C74" t="s">
        <v>12</v>
      </c>
      <c r="D74" t="s">
        <v>13</v>
      </c>
      <c r="E74" s="1" t="s">
        <v>273</v>
      </c>
      <c r="F74" t="s">
        <v>14</v>
      </c>
      <c r="G74" s="3"/>
      <c r="H74" s="3"/>
      <c r="I74" s="3">
        <f>2</f>
        <v>2</v>
      </c>
      <c r="J74"/>
      <c r="K74" t="s">
        <v>26</v>
      </c>
      <c r="M74"/>
    </row>
    <row r="75" spans="1:14" hidden="1">
      <c r="A75" t="s">
        <v>228</v>
      </c>
      <c r="B75" t="s">
        <v>51</v>
      </c>
      <c r="C75" t="s">
        <v>12</v>
      </c>
      <c r="D75" t="s">
        <v>13</v>
      </c>
      <c r="E75" s="1" t="s">
        <v>273</v>
      </c>
      <c r="F75" t="s">
        <v>14</v>
      </c>
      <c r="G75" s="3"/>
      <c r="H75" s="3"/>
      <c r="I75" s="3">
        <f>2</f>
        <v>2</v>
      </c>
      <c r="J75"/>
      <c r="K75" t="s">
        <v>15</v>
      </c>
      <c r="M75"/>
    </row>
    <row r="76" spans="1:14" hidden="1">
      <c r="A76" t="s">
        <v>228</v>
      </c>
      <c r="B76" t="s">
        <v>101</v>
      </c>
      <c r="C76" t="s">
        <v>12</v>
      </c>
      <c r="D76" t="s">
        <v>13</v>
      </c>
      <c r="E76" s="1" t="s">
        <v>273</v>
      </c>
      <c r="F76" t="s">
        <v>14</v>
      </c>
      <c r="G76" s="3"/>
      <c r="H76" s="3"/>
      <c r="I76" s="3">
        <f>2</f>
        <v>2</v>
      </c>
      <c r="J76"/>
      <c r="K76" t="s">
        <v>26</v>
      </c>
      <c r="M76"/>
    </row>
    <row r="77" spans="1:14" hidden="1">
      <c r="A77" t="s">
        <v>228</v>
      </c>
      <c r="B77" t="s">
        <v>34</v>
      </c>
      <c r="C77" t="s">
        <v>12</v>
      </c>
      <c r="D77" t="s">
        <v>13</v>
      </c>
      <c r="E77" s="1" t="s">
        <v>273</v>
      </c>
      <c r="F77" t="s">
        <v>14</v>
      </c>
      <c r="I77" s="2">
        <f>2</f>
        <v>2</v>
      </c>
      <c r="K77" s="1" t="s">
        <v>246</v>
      </c>
    </row>
    <row r="78" spans="1:14" hidden="1">
      <c r="A78" t="s">
        <v>228</v>
      </c>
      <c r="B78" t="s">
        <v>169</v>
      </c>
      <c r="C78" t="s">
        <v>12</v>
      </c>
      <c r="D78" t="s">
        <v>13</v>
      </c>
      <c r="E78" s="1" t="s">
        <v>273</v>
      </c>
      <c r="F78" t="s">
        <v>14</v>
      </c>
      <c r="G78" s="3"/>
      <c r="H78" s="3"/>
      <c r="I78" s="3">
        <f>2</f>
        <v>2</v>
      </c>
      <c r="J78"/>
      <c r="K78" t="s">
        <v>15</v>
      </c>
      <c r="M78"/>
    </row>
    <row r="79" spans="1:14" hidden="1">
      <c r="A79" t="s">
        <v>250</v>
      </c>
      <c r="B79" t="s">
        <v>185</v>
      </c>
      <c r="C79" t="s">
        <v>12</v>
      </c>
      <c r="D79" t="s">
        <v>17</v>
      </c>
      <c r="E79" s="1" t="s">
        <v>273</v>
      </c>
      <c r="F79" t="s">
        <v>14</v>
      </c>
      <c r="G79" s="2">
        <v>46066</v>
      </c>
      <c r="H79" s="2">
        <v>46066</v>
      </c>
      <c r="I79" s="2">
        <f>2</f>
        <v>2</v>
      </c>
      <c r="J79"/>
      <c r="K79" t="s">
        <v>236</v>
      </c>
      <c r="M79" t="s">
        <v>22</v>
      </c>
      <c r="N79" t="s">
        <v>255</v>
      </c>
    </row>
    <row r="80" spans="1:14">
      <c r="A80" t="s">
        <v>276</v>
      </c>
      <c r="B80" t="s">
        <v>182</v>
      </c>
      <c r="C80" s="1" t="s">
        <v>12</v>
      </c>
      <c r="D80" s="1" t="s">
        <v>17</v>
      </c>
      <c r="F80" t="s">
        <v>40</v>
      </c>
      <c r="G80" s="2">
        <v>46070</v>
      </c>
      <c r="H80" s="2">
        <v>46070</v>
      </c>
      <c r="I80" s="9">
        <f>1/8</f>
        <v>0.125</v>
      </c>
      <c r="J80"/>
      <c r="K80" s="1" t="s">
        <v>240</v>
      </c>
      <c r="L80" t="s">
        <v>183</v>
      </c>
      <c r="M80" s="1" t="s">
        <v>22</v>
      </c>
      <c r="N80" t="s">
        <v>258</v>
      </c>
    </row>
    <row r="81" spans="1:14" hidden="1">
      <c r="A81" t="s">
        <v>250</v>
      </c>
      <c r="B81" t="s">
        <v>63</v>
      </c>
      <c r="C81" t="s">
        <v>12</v>
      </c>
      <c r="D81" t="s">
        <v>247</v>
      </c>
      <c r="E81" s="1" t="s">
        <v>273</v>
      </c>
      <c r="F81" t="s">
        <v>14</v>
      </c>
      <c r="G81" s="2">
        <v>46059</v>
      </c>
      <c r="I81" s="2">
        <f>2</f>
        <v>2</v>
      </c>
      <c r="M81" s="1" t="s">
        <v>37</v>
      </c>
    </row>
    <row r="82" spans="1:14" hidden="1">
      <c r="A82" t="s">
        <v>250</v>
      </c>
      <c r="B82" t="s">
        <v>248</v>
      </c>
      <c r="C82" t="s">
        <v>12</v>
      </c>
      <c r="D82" t="s">
        <v>21</v>
      </c>
      <c r="E82" s="1" t="s">
        <v>273</v>
      </c>
      <c r="F82" t="s">
        <v>40</v>
      </c>
      <c r="G82" s="2">
        <v>46058</v>
      </c>
      <c r="H82" s="2">
        <v>46071</v>
      </c>
      <c r="I82" s="2">
        <f>2</f>
        <v>2</v>
      </c>
      <c r="J82"/>
      <c r="K82" t="s">
        <v>237</v>
      </c>
      <c r="M82"/>
    </row>
    <row r="83" spans="1:14" hidden="1">
      <c r="A83" t="s">
        <v>250</v>
      </c>
      <c r="B83" t="s">
        <v>215</v>
      </c>
      <c r="C83" t="s">
        <v>12</v>
      </c>
      <c r="D83"/>
      <c r="E83" s="1" t="s">
        <v>273</v>
      </c>
      <c r="F83" t="s">
        <v>40</v>
      </c>
      <c r="H83" s="2">
        <v>46059</v>
      </c>
      <c r="I83" s="2">
        <f>2</f>
        <v>2</v>
      </c>
    </row>
    <row r="84" spans="1:14" hidden="1">
      <c r="A84" t="s">
        <v>250</v>
      </c>
      <c r="B84" t="s">
        <v>216</v>
      </c>
      <c r="C84" t="s">
        <v>12</v>
      </c>
      <c r="D84" t="s">
        <v>21</v>
      </c>
      <c r="E84" s="1" t="s">
        <v>273</v>
      </c>
      <c r="F84" t="s">
        <v>40</v>
      </c>
      <c r="G84" s="2">
        <v>46080</v>
      </c>
      <c r="H84" s="2" t="s">
        <v>268</v>
      </c>
      <c r="I84" s="2">
        <f>2</f>
        <v>2</v>
      </c>
    </row>
    <row r="85" spans="1:14" hidden="1">
      <c r="A85" t="s">
        <v>250</v>
      </c>
      <c r="B85" t="s">
        <v>223</v>
      </c>
      <c r="C85" t="s">
        <v>12</v>
      </c>
      <c r="D85" t="s">
        <v>21</v>
      </c>
      <c r="E85" s="1" t="s">
        <v>273</v>
      </c>
      <c r="F85" t="s">
        <v>14</v>
      </c>
      <c r="G85" s="2">
        <v>46063</v>
      </c>
      <c r="H85" s="2">
        <v>46063</v>
      </c>
      <c r="I85" s="2">
        <f>2</f>
        <v>2</v>
      </c>
    </row>
    <row r="86" spans="1:14" hidden="1">
      <c r="A86" t="s">
        <v>229</v>
      </c>
      <c r="B86" t="s">
        <v>42</v>
      </c>
      <c r="C86" t="s">
        <v>12</v>
      </c>
      <c r="D86" t="s">
        <v>43</v>
      </c>
      <c r="E86" s="1" t="s">
        <v>273</v>
      </c>
      <c r="F86" t="s">
        <v>14</v>
      </c>
      <c r="G86" s="1"/>
      <c r="H86" s="1"/>
      <c r="I86" s="2">
        <f>2</f>
        <v>2</v>
      </c>
      <c r="J86"/>
      <c r="K86" t="s">
        <v>236</v>
      </c>
      <c r="M86" t="s">
        <v>44</v>
      </c>
    </row>
    <row r="87" spans="1:14" hidden="1">
      <c r="A87" t="s">
        <v>229</v>
      </c>
      <c r="B87" t="s">
        <v>218</v>
      </c>
      <c r="C87" t="s">
        <v>12</v>
      </c>
      <c r="D87" t="s">
        <v>36</v>
      </c>
      <c r="E87" s="1" t="s">
        <v>273</v>
      </c>
      <c r="F87" t="s">
        <v>14</v>
      </c>
      <c r="G87" s="1"/>
      <c r="H87" s="4">
        <v>46062</v>
      </c>
      <c r="I87" s="4">
        <f>2</f>
        <v>2</v>
      </c>
      <c r="J87"/>
      <c r="K87"/>
      <c r="M87" t="s">
        <v>44</v>
      </c>
    </row>
    <row r="88" spans="1:14">
      <c r="A88" t="s">
        <v>276</v>
      </c>
      <c r="B88" t="s">
        <v>187</v>
      </c>
      <c r="C88" s="1" t="s">
        <v>12</v>
      </c>
      <c r="D88" s="1" t="s">
        <v>17</v>
      </c>
      <c r="F88" t="s">
        <v>40</v>
      </c>
      <c r="G88" s="2">
        <v>46080</v>
      </c>
      <c r="H88" s="2">
        <v>46080</v>
      </c>
      <c r="I88" s="9">
        <f>1/8</f>
        <v>0.125</v>
      </c>
      <c r="K88" s="1" t="s">
        <v>240</v>
      </c>
      <c r="L88" t="s">
        <v>188</v>
      </c>
      <c r="M88" s="1" t="s">
        <v>22</v>
      </c>
      <c r="N88" t="s">
        <v>257</v>
      </c>
    </row>
    <row r="89" spans="1:14">
      <c r="A89" t="s">
        <v>230</v>
      </c>
      <c r="B89" t="s">
        <v>186</v>
      </c>
      <c r="C89" s="1" t="s">
        <v>12</v>
      </c>
      <c r="D89" s="1" t="s">
        <v>21</v>
      </c>
      <c r="F89" t="s">
        <v>14</v>
      </c>
      <c r="H89" s="2">
        <v>46073</v>
      </c>
      <c r="I89" s="9">
        <f>40/8</f>
        <v>5</v>
      </c>
      <c r="J89" s="1" t="s">
        <v>238</v>
      </c>
      <c r="K89" s="1" t="s">
        <v>236</v>
      </c>
      <c r="N89" t="s">
        <v>287</v>
      </c>
    </row>
    <row r="90" spans="1:14">
      <c r="A90" t="s">
        <v>275</v>
      </c>
      <c r="B90" t="s">
        <v>184</v>
      </c>
      <c r="C90" s="1" t="s">
        <v>12</v>
      </c>
      <c r="D90" s="1" t="s">
        <v>21</v>
      </c>
      <c r="F90" t="s">
        <v>174</v>
      </c>
      <c r="G90" s="2" t="s">
        <v>284</v>
      </c>
      <c r="H90" s="2">
        <v>46080</v>
      </c>
      <c r="I90" s="9">
        <f>2</f>
        <v>2</v>
      </c>
      <c r="J90"/>
      <c r="K90" s="1" t="s">
        <v>236</v>
      </c>
      <c r="M90" s="1" t="s">
        <v>118</v>
      </c>
      <c r="N90" t="s">
        <v>254</v>
      </c>
    </row>
    <row r="91" spans="1:14">
      <c r="A91" t="s">
        <v>234</v>
      </c>
      <c r="B91" t="s">
        <v>252</v>
      </c>
      <c r="C91" s="1" t="s">
        <v>12</v>
      </c>
      <c r="D91" s="1" t="s">
        <v>17</v>
      </c>
      <c r="F91" t="s">
        <v>40</v>
      </c>
      <c r="H91" s="2">
        <v>46234</v>
      </c>
      <c r="I91" s="9">
        <v>3</v>
      </c>
      <c r="K91" s="1" t="s">
        <v>236</v>
      </c>
      <c r="M91" s="1" t="s">
        <v>308</v>
      </c>
      <c r="N91" t="s">
        <v>269</v>
      </c>
    </row>
    <row r="92" spans="1:14">
      <c r="A92" t="s">
        <v>228</v>
      </c>
      <c r="B92" t="s">
        <v>253</v>
      </c>
      <c r="C92" s="1" t="s">
        <v>12</v>
      </c>
      <c r="D92" s="1" t="s">
        <v>13</v>
      </c>
      <c r="F92" t="s">
        <v>40</v>
      </c>
      <c r="G92" s="2">
        <v>46066</v>
      </c>
      <c r="H92" s="2">
        <v>46248</v>
      </c>
      <c r="I92" s="1" t="s">
        <v>303</v>
      </c>
      <c r="K92" s="1" t="s">
        <v>35</v>
      </c>
      <c r="M92" s="1" t="s">
        <v>33</v>
      </c>
      <c r="N92" t="s">
        <v>274</v>
      </c>
    </row>
    <row r="93" spans="1:14">
      <c r="A93" t="s">
        <v>232</v>
      </c>
      <c r="B93" t="s">
        <v>251</v>
      </c>
      <c r="C93" s="1" t="s">
        <v>12</v>
      </c>
      <c r="D93" s="1" t="s">
        <v>17</v>
      </c>
      <c r="F93" t="s">
        <v>40</v>
      </c>
      <c r="H93" s="2">
        <v>46327</v>
      </c>
      <c r="I93" s="1" t="s">
        <v>303</v>
      </c>
      <c r="K93" s="1" t="s">
        <v>236</v>
      </c>
      <c r="N93" t="s">
        <v>286</v>
      </c>
    </row>
    <row r="94" spans="1:14">
      <c r="A94" t="s">
        <v>280</v>
      </c>
      <c r="B94" t="s">
        <v>47</v>
      </c>
      <c r="C94" s="1" t="s">
        <v>12</v>
      </c>
      <c r="D94" s="1" t="s">
        <v>21</v>
      </c>
      <c r="F94" t="s">
        <v>40</v>
      </c>
      <c r="G94" s="2" t="s">
        <v>285</v>
      </c>
      <c r="H94" s="2" t="s">
        <v>284</v>
      </c>
      <c r="I94" s="9" t="s">
        <v>304</v>
      </c>
      <c r="K94" s="1" t="s">
        <v>236</v>
      </c>
      <c r="M94" s="1" t="s">
        <v>48</v>
      </c>
    </row>
    <row r="95" spans="1:14" hidden="1">
      <c r="A95" t="s">
        <v>230</v>
      </c>
      <c r="B95" t="s">
        <v>208</v>
      </c>
      <c r="C95" t="s">
        <v>12</v>
      </c>
      <c r="D95" t="s">
        <v>21</v>
      </c>
      <c r="E95" s="1" t="s">
        <v>273</v>
      </c>
      <c r="F95" t="s">
        <v>18</v>
      </c>
      <c r="H95" s="2">
        <v>46060</v>
      </c>
      <c r="I95" s="2">
        <f>2</f>
        <v>2</v>
      </c>
      <c r="J95"/>
      <c r="K95"/>
      <c r="M95"/>
    </row>
    <row r="96" spans="1:14" hidden="1">
      <c r="A96" t="s">
        <v>230</v>
      </c>
      <c r="B96" t="s">
        <v>209</v>
      </c>
      <c r="C96" t="s">
        <v>12</v>
      </c>
      <c r="D96" t="s">
        <v>21</v>
      </c>
      <c r="E96" s="1" t="s">
        <v>273</v>
      </c>
      <c r="F96" t="s">
        <v>40</v>
      </c>
      <c r="H96" s="2">
        <v>46060</v>
      </c>
      <c r="I96" s="2">
        <f>2</f>
        <v>2</v>
      </c>
      <c r="J96"/>
      <c r="K96"/>
      <c r="M96"/>
    </row>
    <row r="97" spans="1:14" hidden="1">
      <c r="A97" t="s">
        <v>230</v>
      </c>
      <c r="B97" t="s">
        <v>199</v>
      </c>
      <c r="C97" t="s">
        <v>12</v>
      </c>
      <c r="D97" t="s">
        <v>21</v>
      </c>
      <c r="E97" s="1" t="s">
        <v>273</v>
      </c>
      <c r="F97" t="s">
        <v>14</v>
      </c>
      <c r="H97" s="2">
        <v>46064</v>
      </c>
      <c r="I97" s="2">
        <f>2</f>
        <v>2</v>
      </c>
      <c r="J97" t="s">
        <v>238</v>
      </c>
      <c r="K97"/>
      <c r="M97"/>
    </row>
    <row r="98" spans="1:14" hidden="1">
      <c r="A98" t="s">
        <v>230</v>
      </c>
      <c r="B98" t="s">
        <v>197</v>
      </c>
      <c r="C98" t="s">
        <v>12</v>
      </c>
      <c r="D98" t="s">
        <v>21</v>
      </c>
      <c r="E98" s="1" t="s">
        <v>273</v>
      </c>
      <c r="F98" t="s">
        <v>14</v>
      </c>
      <c r="H98" s="2">
        <v>46059</v>
      </c>
      <c r="I98" s="2">
        <f>2</f>
        <v>2</v>
      </c>
      <c r="J98" t="s">
        <v>238</v>
      </c>
      <c r="K98"/>
      <c r="M98"/>
    </row>
    <row r="99" spans="1:14" hidden="1">
      <c r="A99" t="s">
        <v>230</v>
      </c>
      <c r="B99" t="s">
        <v>196</v>
      </c>
      <c r="C99" t="s">
        <v>12</v>
      </c>
      <c r="D99" t="s">
        <v>21</v>
      </c>
      <c r="E99" s="1" t="s">
        <v>273</v>
      </c>
      <c r="F99" t="s">
        <v>14</v>
      </c>
      <c r="H99" s="2">
        <v>46059</v>
      </c>
      <c r="I99" s="2">
        <f>2</f>
        <v>2</v>
      </c>
      <c r="J99"/>
      <c r="K99" t="s">
        <v>236</v>
      </c>
      <c r="M99"/>
    </row>
    <row r="100" spans="1:14" hidden="1">
      <c r="A100" t="s">
        <v>230</v>
      </c>
      <c r="B100" t="s">
        <v>206</v>
      </c>
      <c r="C100" t="s">
        <v>12</v>
      </c>
      <c r="D100" t="s">
        <v>21</v>
      </c>
      <c r="E100" s="1" t="s">
        <v>273</v>
      </c>
      <c r="F100" t="s">
        <v>14</v>
      </c>
      <c r="G100" s="2">
        <v>46062</v>
      </c>
      <c r="H100" s="2">
        <v>46063</v>
      </c>
      <c r="I100" s="2">
        <f>2</f>
        <v>2</v>
      </c>
      <c r="J100"/>
      <c r="K100" t="s">
        <v>236</v>
      </c>
      <c r="M100"/>
    </row>
    <row r="101" spans="1:14" hidden="1">
      <c r="A101" t="s">
        <v>230</v>
      </c>
      <c r="B101" t="s">
        <v>202</v>
      </c>
      <c r="C101" t="s">
        <v>12</v>
      </c>
      <c r="D101" t="s">
        <v>21</v>
      </c>
      <c r="E101" s="1" t="s">
        <v>273</v>
      </c>
      <c r="F101" t="s">
        <v>14</v>
      </c>
      <c r="I101" s="2">
        <f>2</f>
        <v>2</v>
      </c>
      <c r="J101" t="s">
        <v>238</v>
      </c>
      <c r="K101"/>
      <c r="M101"/>
    </row>
    <row r="102" spans="1:14" hidden="1">
      <c r="A102" t="s">
        <v>230</v>
      </c>
      <c r="B102" t="s">
        <v>200</v>
      </c>
      <c r="C102" t="s">
        <v>12</v>
      </c>
      <c r="D102" t="s">
        <v>21</v>
      </c>
      <c r="E102" s="1" t="s">
        <v>273</v>
      </c>
      <c r="F102" t="s">
        <v>14</v>
      </c>
      <c r="I102" s="2">
        <f>2</f>
        <v>2</v>
      </c>
      <c r="J102" t="s">
        <v>238</v>
      </c>
      <c r="K102"/>
      <c r="M102"/>
    </row>
    <row r="103" spans="1:14" hidden="1">
      <c r="A103" t="s">
        <v>230</v>
      </c>
      <c r="B103" t="s">
        <v>205</v>
      </c>
      <c r="C103" t="s">
        <v>12</v>
      </c>
      <c r="D103" t="s">
        <v>21</v>
      </c>
      <c r="E103" s="1" t="s">
        <v>273</v>
      </c>
      <c r="F103" t="s">
        <v>14</v>
      </c>
      <c r="I103" s="2">
        <f>2</f>
        <v>2</v>
      </c>
      <c r="J103"/>
      <c r="K103"/>
      <c r="M103"/>
    </row>
    <row r="104" spans="1:14" hidden="1">
      <c r="A104" t="s">
        <v>230</v>
      </c>
      <c r="B104" t="s">
        <v>204</v>
      </c>
      <c r="C104" t="s">
        <v>12</v>
      </c>
      <c r="D104" t="s">
        <v>21</v>
      </c>
      <c r="E104" s="1" t="s">
        <v>273</v>
      </c>
      <c r="F104" t="s">
        <v>14</v>
      </c>
      <c r="I104" s="2">
        <f>2</f>
        <v>2</v>
      </c>
      <c r="J104"/>
      <c r="K104"/>
      <c r="M104"/>
    </row>
    <row r="105" spans="1:14" hidden="1">
      <c r="A105" t="s">
        <v>230</v>
      </c>
      <c r="B105" t="s">
        <v>201</v>
      </c>
      <c r="C105" t="s">
        <v>12</v>
      </c>
      <c r="D105" t="s">
        <v>21</v>
      </c>
      <c r="E105" s="1" t="s">
        <v>273</v>
      </c>
      <c r="F105" t="s">
        <v>14</v>
      </c>
      <c r="I105" s="2">
        <f>2</f>
        <v>2</v>
      </c>
      <c r="J105"/>
      <c r="K105" t="s">
        <v>236</v>
      </c>
      <c r="M105" t="s">
        <v>163</v>
      </c>
    </row>
    <row r="106" spans="1:14" hidden="1">
      <c r="A106" t="s">
        <v>230</v>
      </c>
      <c r="B106" t="s">
        <v>198</v>
      </c>
      <c r="C106" t="s">
        <v>12</v>
      </c>
      <c r="D106" t="s">
        <v>21</v>
      </c>
      <c r="E106" s="1" t="s">
        <v>273</v>
      </c>
      <c r="F106" t="s">
        <v>14</v>
      </c>
      <c r="I106" s="2">
        <f>2</f>
        <v>2</v>
      </c>
      <c r="J106"/>
      <c r="K106" t="s">
        <v>236</v>
      </c>
      <c r="M106"/>
    </row>
    <row r="107" spans="1:14">
      <c r="A107" t="s">
        <v>279</v>
      </c>
      <c r="B107" t="s">
        <v>161</v>
      </c>
      <c r="C107" s="1" t="s">
        <v>12</v>
      </c>
      <c r="D107" s="1" t="s">
        <v>21</v>
      </c>
      <c r="G107" s="2">
        <v>46083</v>
      </c>
      <c r="H107" s="2" t="s">
        <v>284</v>
      </c>
      <c r="I107" s="9" t="s">
        <v>305</v>
      </c>
      <c r="J107"/>
      <c r="K107" s="1" t="s">
        <v>236</v>
      </c>
      <c r="L107" t="s">
        <v>162</v>
      </c>
      <c r="M107" s="1" t="s">
        <v>163</v>
      </c>
      <c r="N107" t="s">
        <v>265</v>
      </c>
    </row>
    <row r="108" spans="1:14" hidden="1">
      <c r="A108" t="s">
        <v>232</v>
      </c>
      <c r="B108" t="s">
        <v>116</v>
      </c>
      <c r="C108" t="s">
        <v>28</v>
      </c>
      <c r="D108" t="s">
        <v>17</v>
      </c>
      <c r="E108"/>
      <c r="F108" t="s">
        <v>18</v>
      </c>
      <c r="G108" t="s">
        <v>117</v>
      </c>
      <c r="H108"/>
      <c r="I108" s="3">
        <f>2</f>
        <v>2</v>
      </c>
      <c r="J108"/>
      <c r="K108"/>
      <c r="M108" t="s">
        <v>118</v>
      </c>
    </row>
    <row r="109" spans="1:14">
      <c r="A109" t="s">
        <v>278</v>
      </c>
      <c r="B109" t="s">
        <v>224</v>
      </c>
      <c r="C109" s="1" t="s">
        <v>12</v>
      </c>
      <c r="D109" s="1" t="s">
        <v>244</v>
      </c>
      <c r="G109" s="2">
        <v>46066</v>
      </c>
      <c r="H109" s="2" t="s">
        <v>284</v>
      </c>
      <c r="I109" s="9" t="s">
        <v>305</v>
      </c>
      <c r="K109" s="1" t="s">
        <v>236</v>
      </c>
      <c r="M109" s="1" t="s">
        <v>33</v>
      </c>
      <c r="N109" t="s">
        <v>243</v>
      </c>
    </row>
    <row r="110" spans="1:14" hidden="1">
      <c r="A110" t="s">
        <v>232</v>
      </c>
      <c r="B110" t="s">
        <v>125</v>
      </c>
      <c r="C110" t="s">
        <v>12</v>
      </c>
      <c r="D110" t="s">
        <v>21</v>
      </c>
      <c r="E110" s="1" t="s">
        <v>273</v>
      </c>
      <c r="F110" t="s">
        <v>14</v>
      </c>
      <c r="I110" s="2">
        <f>2</f>
        <v>2</v>
      </c>
    </row>
    <row r="111" spans="1:14" hidden="1">
      <c r="A111" t="s">
        <v>232</v>
      </c>
      <c r="B111" t="s">
        <v>151</v>
      </c>
      <c r="C111" t="s">
        <v>12</v>
      </c>
      <c r="D111" t="s">
        <v>21</v>
      </c>
      <c r="E111" s="1" t="s">
        <v>273</v>
      </c>
      <c r="F111" t="s">
        <v>14</v>
      </c>
      <c r="I111" s="2">
        <f>2</f>
        <v>2</v>
      </c>
    </row>
    <row r="112" spans="1:14" hidden="1">
      <c r="A112" t="s">
        <v>232</v>
      </c>
      <c r="B112" t="s">
        <v>133</v>
      </c>
      <c r="C112" t="s">
        <v>12</v>
      </c>
      <c r="D112" t="s">
        <v>21</v>
      </c>
      <c r="E112" s="1" t="s">
        <v>273</v>
      </c>
      <c r="F112" t="s">
        <v>14</v>
      </c>
      <c r="I112" s="2">
        <f>2</f>
        <v>2</v>
      </c>
    </row>
    <row r="113" spans="1:13" hidden="1">
      <c r="A113" t="s">
        <v>232</v>
      </c>
      <c r="B113" t="s">
        <v>122</v>
      </c>
      <c r="C113" t="s">
        <v>12</v>
      </c>
      <c r="D113" t="s">
        <v>21</v>
      </c>
      <c r="E113" s="1" t="s">
        <v>273</v>
      </c>
      <c r="F113" t="s">
        <v>14</v>
      </c>
      <c r="I113" s="2">
        <f>2</f>
        <v>2</v>
      </c>
    </row>
    <row r="114" spans="1:13" hidden="1">
      <c r="A114" t="s">
        <v>232</v>
      </c>
      <c r="B114" t="s">
        <v>123</v>
      </c>
      <c r="C114" t="s">
        <v>12</v>
      </c>
      <c r="D114" t="s">
        <v>21</v>
      </c>
      <c r="E114" s="1" t="s">
        <v>273</v>
      </c>
      <c r="F114" t="s">
        <v>14</v>
      </c>
      <c r="I114" s="2">
        <f>2</f>
        <v>2</v>
      </c>
    </row>
    <row r="115" spans="1:13" hidden="1">
      <c r="A115" t="s">
        <v>232</v>
      </c>
      <c r="B115" t="s">
        <v>153</v>
      </c>
      <c r="C115" t="s">
        <v>12</v>
      </c>
      <c r="D115" t="s">
        <v>21</v>
      </c>
      <c r="E115" s="1" t="s">
        <v>273</v>
      </c>
      <c r="F115" t="s">
        <v>14</v>
      </c>
      <c r="I115" s="2">
        <f>2</f>
        <v>2</v>
      </c>
    </row>
    <row r="116" spans="1:13" hidden="1">
      <c r="A116" t="s">
        <v>232</v>
      </c>
      <c r="B116" t="s">
        <v>154</v>
      </c>
      <c r="C116" t="s">
        <v>12</v>
      </c>
      <c r="D116" t="s">
        <v>21</v>
      </c>
      <c r="E116" s="1" t="s">
        <v>273</v>
      </c>
      <c r="F116" t="s">
        <v>14</v>
      </c>
      <c r="I116" s="2">
        <f>2</f>
        <v>2</v>
      </c>
    </row>
    <row r="117" spans="1:13" hidden="1">
      <c r="A117" t="s">
        <v>232</v>
      </c>
      <c r="B117" t="s">
        <v>20</v>
      </c>
      <c r="C117" t="s">
        <v>12</v>
      </c>
      <c r="D117" t="s">
        <v>21</v>
      </c>
      <c r="E117" s="1" t="s">
        <v>273</v>
      </c>
      <c r="F117" t="s">
        <v>14</v>
      </c>
      <c r="I117" s="2">
        <f>2</f>
        <v>2</v>
      </c>
      <c r="M117" s="1" t="s">
        <v>22</v>
      </c>
    </row>
    <row r="118" spans="1:13" hidden="1">
      <c r="A118" t="s">
        <v>232</v>
      </c>
      <c r="B118" t="s">
        <v>152</v>
      </c>
      <c r="C118" t="s">
        <v>12</v>
      </c>
      <c r="D118" t="s">
        <v>21</v>
      </c>
      <c r="E118" s="1" t="s">
        <v>273</v>
      </c>
      <c r="F118" t="s">
        <v>14</v>
      </c>
      <c r="I118" s="2">
        <f>2</f>
        <v>2</v>
      </c>
    </row>
    <row r="119" spans="1:13" hidden="1">
      <c r="A119" t="s">
        <v>232</v>
      </c>
      <c r="B119" t="s">
        <v>147</v>
      </c>
      <c r="C119" t="s">
        <v>12</v>
      </c>
      <c r="D119" t="s">
        <v>21</v>
      </c>
      <c r="E119" s="1" t="s">
        <v>273</v>
      </c>
      <c r="F119" t="s">
        <v>14</v>
      </c>
      <c r="I119" s="2">
        <f>2</f>
        <v>2</v>
      </c>
    </row>
    <row r="120" spans="1:13" hidden="1">
      <c r="A120" t="s">
        <v>232</v>
      </c>
      <c r="B120" t="s">
        <v>137</v>
      </c>
      <c r="C120" t="s">
        <v>12</v>
      </c>
      <c r="D120" t="s">
        <v>21</v>
      </c>
      <c r="E120" s="1" t="s">
        <v>273</v>
      </c>
      <c r="F120" t="s">
        <v>14</v>
      </c>
      <c r="I120" s="2">
        <f>2</f>
        <v>2</v>
      </c>
    </row>
    <row r="121" spans="1:13" hidden="1">
      <c r="A121" t="s">
        <v>232</v>
      </c>
      <c r="B121" t="s">
        <v>140</v>
      </c>
      <c r="C121" t="s">
        <v>12</v>
      </c>
      <c r="D121" t="s">
        <v>21</v>
      </c>
      <c r="E121" s="1" t="s">
        <v>273</v>
      </c>
      <c r="F121" t="s">
        <v>14</v>
      </c>
      <c r="I121" s="2">
        <f>2</f>
        <v>2</v>
      </c>
    </row>
    <row r="122" spans="1:13" hidden="1">
      <c r="A122" t="s">
        <v>232</v>
      </c>
      <c r="B122" t="s">
        <v>104</v>
      </c>
      <c r="C122" t="s">
        <v>12</v>
      </c>
      <c r="D122" t="s">
        <v>21</v>
      </c>
      <c r="E122" s="1" t="s">
        <v>273</v>
      </c>
      <c r="F122" t="s">
        <v>14</v>
      </c>
      <c r="I122" s="2">
        <f>2</f>
        <v>2</v>
      </c>
    </row>
    <row r="123" spans="1:13" hidden="1">
      <c r="A123" t="s">
        <v>232</v>
      </c>
      <c r="B123" t="s">
        <v>132</v>
      </c>
      <c r="C123" t="s">
        <v>12</v>
      </c>
      <c r="D123" t="s">
        <v>21</v>
      </c>
      <c r="E123" s="1" t="s">
        <v>273</v>
      </c>
      <c r="F123" t="s">
        <v>14</v>
      </c>
      <c r="I123" s="2">
        <f>2</f>
        <v>2</v>
      </c>
    </row>
    <row r="124" spans="1:13" hidden="1">
      <c r="A124" t="s">
        <v>232</v>
      </c>
      <c r="B124" t="s">
        <v>113</v>
      </c>
      <c r="C124" t="s">
        <v>12</v>
      </c>
      <c r="D124" t="s">
        <v>21</v>
      </c>
      <c r="E124" s="1" t="s">
        <v>273</v>
      </c>
      <c r="F124" t="s">
        <v>14</v>
      </c>
      <c r="I124" s="2">
        <f>2</f>
        <v>2</v>
      </c>
    </row>
    <row r="125" spans="1:13" hidden="1">
      <c r="A125" t="s">
        <v>232</v>
      </c>
      <c r="B125" t="s">
        <v>150</v>
      </c>
      <c r="C125" t="s">
        <v>12</v>
      </c>
      <c r="D125" t="s">
        <v>21</v>
      </c>
      <c r="E125" s="1" t="s">
        <v>273</v>
      </c>
      <c r="F125" t="s">
        <v>14</v>
      </c>
      <c r="I125" s="2">
        <f>2</f>
        <v>2</v>
      </c>
    </row>
    <row r="126" spans="1:13" hidden="1">
      <c r="A126" t="s">
        <v>232</v>
      </c>
      <c r="B126" t="s">
        <v>114</v>
      </c>
      <c r="C126" t="s">
        <v>12</v>
      </c>
      <c r="D126" t="s">
        <v>21</v>
      </c>
      <c r="E126" s="1" t="s">
        <v>273</v>
      </c>
      <c r="F126" t="s">
        <v>14</v>
      </c>
      <c r="I126" s="2">
        <f>2</f>
        <v>2</v>
      </c>
    </row>
    <row r="127" spans="1:13" hidden="1">
      <c r="A127" t="s">
        <v>232</v>
      </c>
      <c r="B127" t="s">
        <v>126</v>
      </c>
      <c r="C127" t="s">
        <v>12</v>
      </c>
      <c r="D127" t="s">
        <v>21</v>
      </c>
      <c r="E127" s="1" t="s">
        <v>273</v>
      </c>
      <c r="F127" t="s">
        <v>14</v>
      </c>
      <c r="I127" s="2">
        <f>2</f>
        <v>2</v>
      </c>
    </row>
    <row r="128" spans="1:13" hidden="1">
      <c r="A128" t="s">
        <v>232</v>
      </c>
      <c r="B128" t="s">
        <v>139</v>
      </c>
      <c r="C128" t="s">
        <v>12</v>
      </c>
      <c r="D128" t="s">
        <v>21</v>
      </c>
      <c r="E128" s="1" t="s">
        <v>273</v>
      </c>
      <c r="F128" t="s">
        <v>14</v>
      </c>
      <c r="I128" s="2">
        <f>2</f>
        <v>2</v>
      </c>
    </row>
    <row r="129" spans="1:14" hidden="1">
      <c r="A129" t="s">
        <v>232</v>
      </c>
      <c r="B129" t="s">
        <v>138</v>
      </c>
      <c r="C129" t="s">
        <v>12</v>
      </c>
      <c r="D129" t="s">
        <v>21</v>
      </c>
      <c r="E129" s="1" t="s">
        <v>273</v>
      </c>
      <c r="F129" t="s">
        <v>14</v>
      </c>
      <c r="I129" s="2">
        <f>2</f>
        <v>2</v>
      </c>
    </row>
    <row r="130" spans="1:14" hidden="1">
      <c r="A130" t="s">
        <v>232</v>
      </c>
      <c r="B130" t="s">
        <v>134</v>
      </c>
      <c r="C130" t="s">
        <v>12</v>
      </c>
      <c r="D130" t="s">
        <v>21</v>
      </c>
      <c r="E130" s="1" t="s">
        <v>273</v>
      </c>
      <c r="F130" t="s">
        <v>14</v>
      </c>
      <c r="I130" s="2">
        <f>2</f>
        <v>2</v>
      </c>
    </row>
    <row r="131" spans="1:14" hidden="1">
      <c r="A131" t="s">
        <v>232</v>
      </c>
      <c r="B131" t="s">
        <v>105</v>
      </c>
      <c r="C131" t="s">
        <v>12</v>
      </c>
      <c r="D131" t="s">
        <v>21</v>
      </c>
      <c r="E131" s="1" t="s">
        <v>273</v>
      </c>
      <c r="F131" t="s">
        <v>14</v>
      </c>
      <c r="I131" s="2">
        <f>2</f>
        <v>2</v>
      </c>
    </row>
    <row r="132" spans="1:14" hidden="1">
      <c r="A132" t="s">
        <v>232</v>
      </c>
      <c r="B132" t="s">
        <v>100</v>
      </c>
      <c r="C132" t="s">
        <v>12</v>
      </c>
      <c r="D132" t="s">
        <v>21</v>
      </c>
      <c r="E132" s="1" t="s">
        <v>273</v>
      </c>
      <c r="F132" t="s">
        <v>14</v>
      </c>
      <c r="I132" s="2">
        <f>2</f>
        <v>2</v>
      </c>
    </row>
    <row r="133" spans="1:14" hidden="1">
      <c r="A133" t="s">
        <v>234</v>
      </c>
      <c r="B133" t="s">
        <v>191</v>
      </c>
      <c r="C133" t="s">
        <v>28</v>
      </c>
      <c r="D133"/>
      <c r="E133"/>
      <c r="F133" t="s">
        <v>18</v>
      </c>
      <c r="G133"/>
      <c r="H133" t="s">
        <v>193</v>
      </c>
      <c r="I133" s="3">
        <f>2</f>
        <v>2</v>
      </c>
      <c r="J133"/>
      <c r="K133"/>
      <c r="L133" t="s">
        <v>192</v>
      </c>
      <c r="M133"/>
    </row>
    <row r="134" spans="1:14" hidden="1">
      <c r="A134" t="s">
        <v>232</v>
      </c>
      <c r="B134" t="s">
        <v>144</v>
      </c>
      <c r="C134" t="s">
        <v>12</v>
      </c>
      <c r="D134" t="s">
        <v>21</v>
      </c>
      <c r="E134" s="1" t="s">
        <v>273</v>
      </c>
      <c r="F134" t="s">
        <v>14</v>
      </c>
      <c r="I134" s="2">
        <f>2</f>
        <v>2</v>
      </c>
    </row>
    <row r="135" spans="1:14" hidden="1">
      <c r="A135" t="s">
        <v>232</v>
      </c>
      <c r="B135" t="s">
        <v>39</v>
      </c>
      <c r="C135" t="s">
        <v>12</v>
      </c>
      <c r="D135" t="s">
        <v>21</v>
      </c>
      <c r="E135" s="1" t="s">
        <v>273</v>
      </c>
      <c r="F135" t="s">
        <v>14</v>
      </c>
      <c r="I135" s="2">
        <f>2</f>
        <v>2</v>
      </c>
      <c r="M135" s="1" t="s">
        <v>22</v>
      </c>
    </row>
    <row r="136" spans="1:14" hidden="1">
      <c r="A136" t="s">
        <v>33</v>
      </c>
      <c r="B136" t="s">
        <v>71</v>
      </c>
      <c r="C136" t="s">
        <v>28</v>
      </c>
      <c r="D136"/>
      <c r="E136"/>
      <c r="F136" t="s">
        <v>18</v>
      </c>
      <c r="G136"/>
      <c r="H136"/>
      <c r="I136" s="3">
        <f>2</f>
        <v>2</v>
      </c>
      <c r="J136"/>
      <c r="K136"/>
      <c r="M136"/>
    </row>
    <row r="137" spans="1:14" hidden="1">
      <c r="B137" t="s">
        <v>76</v>
      </c>
      <c r="C137" t="s">
        <v>28</v>
      </c>
      <c r="D137"/>
      <c r="E137"/>
      <c r="F137" t="s">
        <v>18</v>
      </c>
      <c r="G137"/>
      <c r="H137"/>
      <c r="I137" s="3">
        <f>2</f>
        <v>2</v>
      </c>
      <c r="J137"/>
      <c r="K137"/>
      <c r="M137"/>
    </row>
    <row r="138" spans="1:14" hidden="1">
      <c r="B138" t="s">
        <v>80</v>
      </c>
      <c r="C138" t="s">
        <v>28</v>
      </c>
      <c r="D138" t="s">
        <v>36</v>
      </c>
      <c r="E138"/>
      <c r="F138" t="s">
        <v>18</v>
      </c>
      <c r="G138" t="s">
        <v>81</v>
      </c>
      <c r="H138"/>
      <c r="I138" s="3">
        <f>2</f>
        <v>2</v>
      </c>
      <c r="J138"/>
      <c r="K138"/>
      <c r="M138"/>
    </row>
    <row r="139" spans="1:14" hidden="1">
      <c r="B139" t="s">
        <v>96</v>
      </c>
      <c r="C139" t="s">
        <v>28</v>
      </c>
      <c r="D139"/>
      <c r="E139"/>
      <c r="F139" t="s">
        <v>18</v>
      </c>
      <c r="G139"/>
      <c r="H139"/>
      <c r="I139" s="3">
        <f>2</f>
        <v>2</v>
      </c>
      <c r="J139"/>
      <c r="K139"/>
      <c r="M139"/>
    </row>
    <row r="140" spans="1:14" hidden="1">
      <c r="B140" t="s">
        <v>129</v>
      </c>
      <c r="C140" t="s">
        <v>28</v>
      </c>
      <c r="D140" t="s">
        <v>130</v>
      </c>
      <c r="E140"/>
      <c r="F140" t="s">
        <v>18</v>
      </c>
      <c r="G140" t="s">
        <v>131</v>
      </c>
      <c r="H140"/>
      <c r="I140" s="3">
        <f>2</f>
        <v>2</v>
      </c>
      <c r="J140"/>
      <c r="K140"/>
      <c r="M140" t="s">
        <v>118</v>
      </c>
      <c r="N140" t="s">
        <v>261</v>
      </c>
    </row>
    <row r="141" spans="1:14" hidden="1">
      <c r="B141" t="s">
        <v>266</v>
      </c>
      <c r="C141" t="s">
        <v>28</v>
      </c>
      <c r="D141"/>
      <c r="E141"/>
      <c r="F141" t="s">
        <v>18</v>
      </c>
      <c r="G141"/>
      <c r="H141"/>
      <c r="I141" s="3">
        <f>2</f>
        <v>2</v>
      </c>
      <c r="J141"/>
      <c r="K141"/>
      <c r="M141"/>
    </row>
    <row r="142" spans="1:14" hidden="1">
      <c r="B142" t="s">
        <v>155</v>
      </c>
      <c r="C142" t="s">
        <v>28</v>
      </c>
      <c r="D142"/>
      <c r="E142"/>
      <c r="F142" t="s">
        <v>18</v>
      </c>
      <c r="G142"/>
      <c r="H142"/>
      <c r="I142" s="3">
        <f>2</f>
        <v>2</v>
      </c>
      <c r="J142"/>
      <c r="K142"/>
      <c r="M142"/>
    </row>
    <row r="143" spans="1:14" hidden="1">
      <c r="B143" t="s">
        <v>158</v>
      </c>
      <c r="C143" t="s">
        <v>28</v>
      </c>
      <c r="D143" t="s">
        <v>21</v>
      </c>
      <c r="E143"/>
      <c r="F143" t="s">
        <v>18</v>
      </c>
      <c r="G143" t="s">
        <v>159</v>
      </c>
      <c r="H143"/>
      <c r="I143" s="3">
        <f>2</f>
        <v>2</v>
      </c>
      <c r="J143"/>
      <c r="K143"/>
      <c r="M143"/>
    </row>
    <row r="144" spans="1:14" hidden="1">
      <c r="B144" t="s">
        <v>160</v>
      </c>
      <c r="C144" t="s">
        <v>28</v>
      </c>
      <c r="D144" t="s">
        <v>21</v>
      </c>
      <c r="E144"/>
      <c r="F144" t="s">
        <v>18</v>
      </c>
      <c r="G144" t="s">
        <v>117</v>
      </c>
      <c r="H144"/>
      <c r="I144" s="3">
        <f>2</f>
        <v>2</v>
      </c>
      <c r="J144"/>
      <c r="K144"/>
      <c r="M144" t="s">
        <v>22</v>
      </c>
    </row>
    <row r="145" spans="1:14" hidden="1">
      <c r="A145" t="s">
        <v>232</v>
      </c>
      <c r="B145" t="s">
        <v>124</v>
      </c>
      <c r="C145" t="s">
        <v>12</v>
      </c>
      <c r="D145" t="s">
        <v>21</v>
      </c>
      <c r="E145" s="1" t="s">
        <v>273</v>
      </c>
      <c r="F145" t="s">
        <v>14</v>
      </c>
      <c r="I145" s="2">
        <f>2</f>
        <v>2</v>
      </c>
    </row>
    <row r="146" spans="1:14" hidden="1">
      <c r="B146" t="s">
        <v>164</v>
      </c>
      <c r="C146" t="s">
        <v>28</v>
      </c>
      <c r="D146"/>
      <c r="E146"/>
      <c r="F146" t="s">
        <v>18</v>
      </c>
      <c r="G146" t="s">
        <v>165</v>
      </c>
      <c r="H146"/>
      <c r="I146" s="3">
        <f>2</f>
        <v>2</v>
      </c>
      <c r="J146"/>
      <c r="K146"/>
      <c r="M146"/>
      <c r="N146" t="s">
        <v>265</v>
      </c>
    </row>
    <row r="147" spans="1:14" hidden="1">
      <c r="B147" t="s">
        <v>166</v>
      </c>
      <c r="C147" t="s">
        <v>28</v>
      </c>
      <c r="D147" t="s">
        <v>21</v>
      </c>
      <c r="E147"/>
      <c r="F147" t="s">
        <v>18</v>
      </c>
      <c r="G147" t="s">
        <v>157</v>
      </c>
      <c r="H147"/>
      <c r="I147" s="3">
        <f>2</f>
        <v>2</v>
      </c>
      <c r="J147"/>
      <c r="K147"/>
      <c r="M147"/>
    </row>
    <row r="148" spans="1:14" hidden="1">
      <c r="B148" t="s">
        <v>167</v>
      </c>
      <c r="C148" t="s">
        <v>28</v>
      </c>
      <c r="D148" t="s">
        <v>21</v>
      </c>
      <c r="E148"/>
      <c r="F148" t="s">
        <v>18</v>
      </c>
      <c r="G148"/>
      <c r="H148"/>
      <c r="I148" s="3">
        <f>2</f>
        <v>2</v>
      </c>
      <c r="J148"/>
      <c r="K148"/>
      <c r="M148" t="s">
        <v>22</v>
      </c>
    </row>
    <row r="149" spans="1:14" hidden="1">
      <c r="B149" t="s">
        <v>168</v>
      </c>
      <c r="C149" t="s">
        <v>28</v>
      </c>
      <c r="D149" t="s">
        <v>21</v>
      </c>
      <c r="E149"/>
      <c r="F149" t="s">
        <v>18</v>
      </c>
      <c r="G149"/>
      <c r="H149"/>
      <c r="I149" s="3">
        <f>2</f>
        <v>2</v>
      </c>
      <c r="J149"/>
      <c r="K149"/>
      <c r="M149"/>
    </row>
    <row r="150" spans="1:14" hidden="1">
      <c r="B150" t="s">
        <v>170</v>
      </c>
      <c r="C150" t="s">
        <v>28</v>
      </c>
      <c r="D150" t="s">
        <v>21</v>
      </c>
      <c r="E150"/>
      <c r="F150" t="s">
        <v>18</v>
      </c>
      <c r="G150"/>
      <c r="H150"/>
      <c r="I150" s="3">
        <f>2</f>
        <v>2</v>
      </c>
      <c r="J150"/>
      <c r="K150"/>
      <c r="M150"/>
      <c r="N150" t="s">
        <v>264</v>
      </c>
    </row>
    <row r="151" spans="1:14" hidden="1">
      <c r="B151" t="s">
        <v>171</v>
      </c>
      <c r="C151" t="s">
        <v>28</v>
      </c>
      <c r="D151" t="s">
        <v>244</v>
      </c>
      <c r="E151"/>
      <c r="F151" t="s">
        <v>18</v>
      </c>
      <c r="G151"/>
      <c r="H151"/>
      <c r="I151" s="3">
        <f>2</f>
        <v>2</v>
      </c>
      <c r="J151"/>
      <c r="K151"/>
      <c r="M151"/>
      <c r="N151" t="s">
        <v>243</v>
      </c>
    </row>
    <row r="152" spans="1:14" hidden="1">
      <c r="B152" t="s">
        <v>172</v>
      </c>
      <c r="C152" t="s">
        <v>28</v>
      </c>
      <c r="D152" t="s">
        <v>36</v>
      </c>
      <c r="E152"/>
      <c r="F152" t="s">
        <v>18</v>
      </c>
      <c r="G152" t="s">
        <v>173</v>
      </c>
      <c r="H152"/>
      <c r="I152" s="3">
        <f>2</f>
        <v>2</v>
      </c>
      <c r="J152"/>
      <c r="K152"/>
      <c r="M152" t="s">
        <v>37</v>
      </c>
    </row>
    <row r="153" spans="1:14">
      <c r="A153" t="s">
        <v>278</v>
      </c>
      <c r="B153" t="s">
        <v>69</v>
      </c>
      <c r="C153" s="1" t="s">
        <v>12</v>
      </c>
      <c r="D153" s="1" t="s">
        <v>244</v>
      </c>
      <c r="F153" t="s">
        <v>40</v>
      </c>
      <c r="G153" s="2">
        <v>46063</v>
      </c>
      <c r="H153" s="2" t="s">
        <v>284</v>
      </c>
      <c r="I153" s="9" t="s">
        <v>305</v>
      </c>
      <c r="K153" s="1" t="s">
        <v>236</v>
      </c>
      <c r="M153" s="1" t="s">
        <v>33</v>
      </c>
      <c r="N153" t="s">
        <v>288</v>
      </c>
    </row>
    <row r="154" spans="1:14" hidden="1">
      <c r="B154" t="s">
        <v>176</v>
      </c>
      <c r="C154" t="s">
        <v>28</v>
      </c>
      <c r="D154" t="s">
        <v>21</v>
      </c>
      <c r="E154"/>
      <c r="F154" t="s">
        <v>18</v>
      </c>
      <c r="G154" t="s">
        <v>177</v>
      </c>
      <c r="H154"/>
      <c r="I154" s="3">
        <f>2</f>
        <v>2</v>
      </c>
      <c r="J154"/>
      <c r="K154"/>
      <c r="M154"/>
    </row>
    <row r="155" spans="1:14" hidden="1">
      <c r="B155" t="s">
        <v>178</v>
      </c>
      <c r="C155" t="s">
        <v>28</v>
      </c>
      <c r="D155" t="s">
        <v>21</v>
      </c>
      <c r="E155"/>
      <c r="F155" t="s">
        <v>18</v>
      </c>
      <c r="G155"/>
      <c r="H155"/>
      <c r="I155" s="3">
        <f>2</f>
        <v>2</v>
      </c>
      <c r="J155"/>
      <c r="K155"/>
      <c r="M155"/>
      <c r="N155" t="s">
        <v>259</v>
      </c>
    </row>
    <row r="156" spans="1:14" hidden="1">
      <c r="B156" t="s">
        <v>179</v>
      </c>
      <c r="C156" t="s">
        <v>28</v>
      </c>
      <c r="D156" t="s">
        <v>21</v>
      </c>
      <c r="E156"/>
      <c r="F156" t="s">
        <v>18</v>
      </c>
      <c r="G156" t="s">
        <v>81</v>
      </c>
      <c r="H156"/>
      <c r="I156" s="3">
        <f>2</f>
        <v>2</v>
      </c>
      <c r="J156"/>
      <c r="K156"/>
      <c r="M156"/>
    </row>
    <row r="157" spans="1:14" hidden="1">
      <c r="B157" t="s">
        <v>180</v>
      </c>
      <c r="C157" t="s">
        <v>28</v>
      </c>
      <c r="D157" t="s">
        <v>21</v>
      </c>
      <c r="E157"/>
      <c r="F157" t="s">
        <v>18</v>
      </c>
      <c r="G157"/>
      <c r="H157"/>
      <c r="I157" s="3">
        <f>2</f>
        <v>2</v>
      </c>
      <c r="J157"/>
      <c r="K157"/>
      <c r="M157"/>
    </row>
    <row r="158" spans="1:14" hidden="1">
      <c r="B158" t="s">
        <v>181</v>
      </c>
      <c r="C158" t="s">
        <v>28</v>
      </c>
      <c r="D158"/>
      <c r="E158"/>
      <c r="F158" t="s">
        <v>18</v>
      </c>
      <c r="G158"/>
      <c r="H158"/>
      <c r="I158" s="3">
        <f>2</f>
        <v>2</v>
      </c>
      <c r="J158"/>
      <c r="K158"/>
      <c r="M158"/>
    </row>
    <row r="159" spans="1:14" hidden="1">
      <c r="B159" t="s">
        <v>263</v>
      </c>
      <c r="C159" t="s">
        <v>28</v>
      </c>
      <c r="D159"/>
      <c r="E159"/>
      <c r="F159" t="s">
        <v>18</v>
      </c>
      <c r="G159"/>
      <c r="H159"/>
      <c r="I159" s="3">
        <f>2</f>
        <v>2</v>
      </c>
      <c r="J159"/>
      <c r="K159"/>
      <c r="M159"/>
    </row>
    <row r="160" spans="1:14" hidden="1">
      <c r="A160" t="s">
        <v>234</v>
      </c>
      <c r="B160" t="s">
        <v>75</v>
      </c>
      <c r="C160" t="s">
        <v>12</v>
      </c>
      <c r="D160" t="s">
        <v>13</v>
      </c>
      <c r="E160" s="1" t="s">
        <v>273</v>
      </c>
      <c r="F160" t="s">
        <v>14</v>
      </c>
      <c r="I160" s="2">
        <f>2</f>
        <v>2</v>
      </c>
      <c r="M160" s="1" t="s">
        <v>33</v>
      </c>
    </row>
    <row r="161" spans="1:14" hidden="1">
      <c r="A161" t="s">
        <v>234</v>
      </c>
      <c r="B161" t="s">
        <v>45</v>
      </c>
      <c r="C161" t="s">
        <v>12</v>
      </c>
      <c r="D161" t="s">
        <v>17</v>
      </c>
      <c r="E161" s="1" t="s">
        <v>273</v>
      </c>
      <c r="F161" t="s">
        <v>46</v>
      </c>
      <c r="I161" s="2">
        <f>2</f>
        <v>2</v>
      </c>
    </row>
    <row r="162" spans="1:14" hidden="1">
      <c r="B162" t="s">
        <v>189</v>
      </c>
      <c r="C162" t="s">
        <v>28</v>
      </c>
      <c r="D162"/>
      <c r="E162"/>
      <c r="F162" t="s">
        <v>18</v>
      </c>
      <c r="G162"/>
      <c r="H162" t="s">
        <v>32</v>
      </c>
      <c r="I162" s="3">
        <f>2</f>
        <v>2</v>
      </c>
      <c r="J162"/>
      <c r="K162"/>
      <c r="M162" t="s">
        <v>190</v>
      </c>
    </row>
    <row r="163" spans="1:14" hidden="1">
      <c r="B163" t="s">
        <v>219</v>
      </c>
      <c r="C163" t="s">
        <v>239</v>
      </c>
      <c r="D163"/>
      <c r="E163"/>
      <c r="G163" s="1"/>
      <c r="H163" s="1" t="s">
        <v>220</v>
      </c>
      <c r="I163" s="2">
        <f>2</f>
        <v>2</v>
      </c>
      <c r="N163" t="s">
        <v>242</v>
      </c>
    </row>
    <row r="164" spans="1:14" hidden="1">
      <c r="B164" t="s">
        <v>212</v>
      </c>
      <c r="C164" t="s">
        <v>28</v>
      </c>
      <c r="D164"/>
      <c r="E164"/>
      <c r="F164" t="s">
        <v>18</v>
      </c>
      <c r="G164"/>
      <c r="H164"/>
      <c r="I164" s="3">
        <f>2</f>
        <v>2</v>
      </c>
      <c r="J164"/>
      <c r="K164"/>
      <c r="M164"/>
      <c r="N164" t="s">
        <v>256</v>
      </c>
    </row>
    <row r="165" spans="1:14" hidden="1">
      <c r="B165" t="s">
        <v>213</v>
      </c>
      <c r="C165" t="s">
        <v>28</v>
      </c>
      <c r="D165" t="s">
        <v>17</v>
      </c>
      <c r="E165"/>
      <c r="F165" t="s">
        <v>18</v>
      </c>
      <c r="G165" t="s">
        <v>70</v>
      </c>
      <c r="H165"/>
      <c r="I165" s="3">
        <f>2</f>
        <v>2</v>
      </c>
      <c r="J165"/>
      <c r="K165"/>
      <c r="M165"/>
      <c r="N165" t="s">
        <v>262</v>
      </c>
    </row>
    <row r="166" spans="1:14" hidden="1">
      <c r="B166" t="s">
        <v>214</v>
      </c>
      <c r="C166" t="s">
        <v>28</v>
      </c>
      <c r="D166" t="s">
        <v>17</v>
      </c>
      <c r="E166"/>
      <c r="F166" t="s">
        <v>18</v>
      </c>
      <c r="G166" t="s">
        <v>70</v>
      </c>
      <c r="H166"/>
      <c r="I166" s="3">
        <f>2</f>
        <v>2</v>
      </c>
      <c r="J166"/>
      <c r="K166"/>
      <c r="M166"/>
      <c r="N166" t="s">
        <v>261</v>
      </c>
    </row>
    <row r="167" spans="1:14" hidden="1">
      <c r="A167" t="s">
        <v>234</v>
      </c>
      <c r="B167" t="s">
        <v>16</v>
      </c>
      <c r="C167" t="s">
        <v>12</v>
      </c>
      <c r="D167" t="s">
        <v>17</v>
      </c>
      <c r="E167" s="1" t="s">
        <v>273</v>
      </c>
      <c r="F167" t="s">
        <v>18</v>
      </c>
      <c r="I167" s="2">
        <f>2</f>
        <v>2</v>
      </c>
    </row>
    <row r="168" spans="1:14" hidden="1">
      <c r="A168" t="s">
        <v>234</v>
      </c>
      <c r="B168" t="s">
        <v>194</v>
      </c>
      <c r="C168" t="s">
        <v>12</v>
      </c>
      <c r="D168"/>
      <c r="E168" s="1" t="s">
        <v>273</v>
      </c>
      <c r="F168" t="s">
        <v>270</v>
      </c>
      <c r="H168" s="2">
        <v>46095</v>
      </c>
      <c r="I168" s="2">
        <f>2</f>
        <v>2</v>
      </c>
    </row>
    <row r="169" spans="1:14" hidden="1">
      <c r="A169" t="s">
        <v>234</v>
      </c>
      <c r="B169" t="s">
        <v>195</v>
      </c>
      <c r="C169" t="s">
        <v>12</v>
      </c>
      <c r="D169" t="s">
        <v>17</v>
      </c>
      <c r="E169" s="1" t="s">
        <v>273</v>
      </c>
      <c r="F169" t="s">
        <v>46</v>
      </c>
      <c r="H169" s="2">
        <v>46059</v>
      </c>
      <c r="I169" s="2">
        <f>2</f>
        <v>2</v>
      </c>
    </row>
    <row r="170" spans="1:14" hidden="1">
      <c r="B170" t="s">
        <v>221</v>
      </c>
      <c r="C170" t="s">
        <v>239</v>
      </c>
      <c r="D170" t="s">
        <v>130</v>
      </c>
      <c r="E170"/>
      <c r="G170" t="s">
        <v>64</v>
      </c>
      <c r="H170"/>
      <c r="I170" s="3">
        <f>2</f>
        <v>2</v>
      </c>
      <c r="J170"/>
      <c r="K170"/>
      <c r="L170" t="s">
        <v>222</v>
      </c>
      <c r="M170"/>
      <c r="N170" t="s">
        <v>260</v>
      </c>
    </row>
    <row r="171" spans="1:14" hidden="1">
      <c r="B171" t="s">
        <v>225</v>
      </c>
      <c r="C171" t="s">
        <v>28</v>
      </c>
      <c r="D171" t="s">
        <v>17</v>
      </c>
      <c r="E171"/>
      <c r="F171" t="s">
        <v>18</v>
      </c>
      <c r="G171" t="s">
        <v>207</v>
      </c>
      <c r="H171" t="s">
        <v>203</v>
      </c>
      <c r="I171" s="3">
        <f>2</f>
        <v>2</v>
      </c>
      <c r="J171"/>
      <c r="K171"/>
      <c r="M171"/>
      <c r="N171" t="s">
        <v>258</v>
      </c>
    </row>
    <row r="172" spans="1:14" hidden="1">
      <c r="A172" t="s">
        <v>234</v>
      </c>
      <c r="B172" t="s">
        <v>135</v>
      </c>
      <c r="C172" t="s">
        <v>12</v>
      </c>
      <c r="D172" t="s">
        <v>17</v>
      </c>
      <c r="E172" s="1" t="s">
        <v>273</v>
      </c>
      <c r="F172" t="s">
        <v>14</v>
      </c>
      <c r="I172" s="2">
        <f>2</f>
        <v>2</v>
      </c>
    </row>
    <row r="173" spans="1:14">
      <c r="A173" t="s">
        <v>250</v>
      </c>
      <c r="B173" t="s">
        <v>249</v>
      </c>
      <c r="C173" s="1" t="s">
        <v>12</v>
      </c>
      <c r="D173" s="1" t="s">
        <v>21</v>
      </c>
      <c r="F173" t="s">
        <v>40</v>
      </c>
      <c r="H173" s="2" t="s">
        <v>284</v>
      </c>
      <c r="I173" s="9" t="s">
        <v>306</v>
      </c>
      <c r="J173"/>
    </row>
    <row r="174" spans="1:14">
      <c r="B174" t="s">
        <v>321</v>
      </c>
      <c r="I174" s="2">
        <f>2</f>
        <v>2</v>
      </c>
    </row>
    <row r="175" spans="1:14">
      <c r="I175" s="2"/>
    </row>
    <row r="176" spans="1:14">
      <c r="I176" s="2"/>
    </row>
    <row r="178" spans="2:2">
      <c r="B178" t="s">
        <v>311</v>
      </c>
    </row>
    <row r="179" spans="2:2">
      <c r="B179" t="s">
        <v>310</v>
      </c>
    </row>
    <row r="180" spans="2:2">
      <c r="B180" t="s">
        <v>312</v>
      </c>
    </row>
    <row r="182" spans="2:2">
      <c r="B182" t="s">
        <v>313</v>
      </c>
    </row>
    <row r="183" spans="2:2">
      <c r="B183" t="s">
        <v>314</v>
      </c>
    </row>
    <row r="184" spans="2:2">
      <c r="B184" t="s">
        <v>315</v>
      </c>
    </row>
    <row r="185" spans="2:2">
      <c r="B185" t="s">
        <v>316</v>
      </c>
    </row>
    <row r="186" spans="2:2">
      <c r="B186" t="s">
        <v>317</v>
      </c>
    </row>
    <row r="187" spans="2:2">
      <c r="B187" t="s">
        <v>318</v>
      </c>
    </row>
  </sheetData>
  <phoneticPr fontId="18"/>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PJ一覧</vt:lpstr>
      <vt:lpstr>タスク管理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赤坂 和幸</dc:creator>
  <cp:lastModifiedBy>ユーザーサイド 赤坂 和幸</cp:lastModifiedBy>
  <dcterms:created xsi:type="dcterms:W3CDTF">2026-02-10T05:18:28Z</dcterms:created>
  <dcterms:modified xsi:type="dcterms:W3CDTF">2026-02-13T01:55:23Z</dcterms:modified>
</cp:coreProperties>
</file>